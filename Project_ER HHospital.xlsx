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003E0D6-296A-4E99-BA4A-B7AE80A93795}" xr6:coauthVersionLast="47" xr6:coauthVersionMax="47" xr10:uidLastSave="{00000000-0000-0000-0000-000000000000}"/>
  <bookViews>
    <workbookView xWindow="-110" yWindow="-110" windowWidth="19420" windowHeight="10300" firstSheet="1" activeTab="1" xr2:uid="{CA55B7C9-2D36-4F9B-B973-EFFA00781BB3}"/>
  </bookViews>
  <sheets>
    <sheet name="Tables" sheetId="1" r:id="rId1"/>
    <sheet name="Dashboard" sheetId="2" r:id="rId2"/>
    <sheet name="Avg S.Score Chart" sheetId="6" r:id="rId3"/>
    <sheet name="Daily Patient Count Chart" sheetId="3" r:id="rId4"/>
    <sheet name="Average Wait Time Chart"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b17477c-f9a7-41c5-b071-9e63519ece0f" name="Hospital Emergency Room Data" connection="Query - Hospital Emergency Room Data"/>
          <x15:modelTable id="Calender Table_0170fa4a-d267-4705-a094-5260e254d115" name="Calender Table" connection="Query - Calender Table"/>
        </x15:modelTables>
        <x15:modelRelationships>
          <x15:modelRelationship fromTable="Hospital Emergency Room Data" fromColumn="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O14" i="1" l="1"/>
  <c r="O13" i="1"/>
  <c r="N14" i="1"/>
  <c r="N13" i="1"/>
  <c r="M14" i="1"/>
  <c r="M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0BF2CB-C4BB-4DCD-BF60-1623008F517A}" name="Query - Calender Table" description="Connection to the 'Calender Table' query in the workbook." type="100" refreshedVersion="8" minRefreshableVersion="5">
    <extLst>
      <ext xmlns:x15="http://schemas.microsoft.com/office/spreadsheetml/2010/11/main" uri="{DE250136-89BD-433C-8126-D09CA5730AF9}">
        <x15:connection id="9e109177-fd6a-4991-a330-6cf49578abab">
          <x15:oledbPr connection="Provider=Microsoft.Mashup.OleDb.1;Data Source=$Workbook$;Location=&quot;Calender Table&quot;;Extended Properties=&quot;&quot;">
            <x15:dbTables>
              <x15:dbTable name="Calender Table"/>
            </x15:dbTables>
          </x15:oledbPr>
        </x15:connection>
      </ext>
    </extLst>
  </connection>
  <connection id="2" xr16:uid="{6F89E06C-AE80-4473-B387-AF2819AFDA0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829ee06-0cb4-4737-8485-674a1c4a788e"/>
      </ext>
    </extLst>
  </connection>
  <connection id="3" xr16:uid="{283EBEDB-F5FF-452F-AC12-9B497E94D82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<sst xmlns="http://schemas.openxmlformats.org/spreadsheetml/2006/main" count="67" uniqueCount="48">
  <si>
    <t>Row Labels</t>
  </si>
  <si>
    <t>Grand Total</t>
  </si>
  <si>
    <t>Distinct Count of Patient Id</t>
  </si>
  <si>
    <t>Average of Patient Waittime</t>
  </si>
  <si>
    <t>Average of Patient Satisfaction Score</t>
  </si>
  <si>
    <t>Sum of Patient Satisfaction Score</t>
  </si>
  <si>
    <t>Not Admitted</t>
  </si>
  <si>
    <t>Admitted</t>
  </si>
  <si>
    <t>Count of Patient Admission Flag</t>
  </si>
  <si>
    <t>Count of Patient Admission Flag2</t>
  </si>
  <si>
    <t>Status</t>
  </si>
  <si>
    <t>Patient Count</t>
  </si>
  <si>
    <t>Percentage</t>
  </si>
  <si>
    <t>Female</t>
  </si>
  <si>
    <t>Male</t>
  </si>
  <si>
    <t>Count of Patient Gender</t>
  </si>
  <si>
    <t>Cardiology</t>
  </si>
  <si>
    <t>Gastroenterology</t>
  </si>
  <si>
    <t>General Practice</t>
  </si>
  <si>
    <t>Neurology</t>
  </si>
  <si>
    <t>None</t>
  </si>
  <si>
    <t>Orthopedics</t>
  </si>
  <si>
    <t>Physiotherapy</t>
  </si>
  <si>
    <t>Renal</t>
  </si>
  <si>
    <t>Count of Department Referral</t>
  </si>
  <si>
    <t>0-9</t>
  </si>
  <si>
    <t>10-19</t>
  </si>
  <si>
    <t>20-29</t>
  </si>
  <si>
    <t>30-39</t>
  </si>
  <si>
    <t>40-49</t>
  </si>
  <si>
    <t>50-59</t>
  </si>
  <si>
    <t>60-69</t>
  </si>
  <si>
    <t>70-79</t>
  </si>
  <si>
    <t>Count of Age Group</t>
  </si>
  <si>
    <t>Delay</t>
  </si>
  <si>
    <t>On Time</t>
  </si>
  <si>
    <t>Count of Patient Attendance Status</t>
  </si>
  <si>
    <t xml:space="preserve">Average waittime </t>
  </si>
  <si>
    <t>Daliy Average Patient Satisfaction Score</t>
  </si>
  <si>
    <t>Average Patient Satisfaction Score</t>
  </si>
  <si>
    <t>No. of Patients</t>
  </si>
  <si>
    <t>Daily Average Waittime</t>
  </si>
  <si>
    <t>No.of Patients Visiting Daily</t>
  </si>
  <si>
    <t>No. of Patients Admitted vs Not Admitted</t>
  </si>
  <si>
    <t>No. of Male and Female Patient</t>
  </si>
  <si>
    <t>No. of Patients by Age Group</t>
  </si>
  <si>
    <t>Patient Attendance Status</t>
  </si>
  <si>
    <t>No. of Patients by Dept.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</si>
</sst>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pivotButton="1"/>
    <xf numFmtId="14" fontId="0" fillId="0" borderId="0" xfId="0" applyNumberFormat="1" applyAlignment="1">
      <alignment horizontal="left"/>
    </xf>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3" borderId="0" xfId="0" applyFill="1"/>
    <xf numFmtId="0" fontId="0" fillId="4" borderId="0" xfId="0" applyFill="1"/>
    <xf numFmtId="10" fontId="0" fillId="0" borderId="0" xfId="0" applyNumberFormat="1"/>
    <xf numFmtId="0" fontId="0" fillId="5" borderId="0" xfId="0" applyFill="1"/>
    <xf numFmtId="2" fontId="0" fillId="5" borderId="0" xfId="0" applyNumberFormat="1" applyFill="1"/>
    <xf numFmtId="10" fontId="0" fillId="5" borderId="0" xfId="0" applyNumberFormat="1" applyFill="1"/>
    <xf numFmtId="9" fontId="0" fillId="0" borderId="0" xfId="0" applyNumberFormat="1"/>
    <xf numFmtId="0" fontId="1" fillId="4" borderId="0" xfId="1" applyFill="1"/>
    <xf numFmtId="0" fontId="0" fillId="6" borderId="0" xfId="0" applyFill="1"/>
    <xf numFmtId="0" fontId="0" fillId="6" borderId="0" xfId="0" applyFill="1" applyAlignment="1">
      <alignment horizontal="center"/>
    </xf>
  </cellXfs>
  <cellStyles count="2">
    <cellStyle name="Hyperlink" xfId="1" builtinId="8"/>
    <cellStyle name="Normal" xfId="0" builtinId="0"/>
  </cellStyles>
  <dxfs count="23">
    <dxf>
      <numFmt numFmtId="13" formatCode="0%"/>
    </dxf>
    <dxf>
      <numFmt numFmtId="14" formatCode="0.00%"/>
    </dxf>
    <dxf>
      <numFmt numFmtId="1" formatCode="0"/>
    </dxf>
    <dxf>
      <numFmt numFmtId="1" formatCode="0"/>
    </dxf>
    <dxf>
      <numFmt numFmtId="1" formatCode="0"/>
    </dxf>
    <dxf>
      <numFmt numFmtId="2" formatCode="0.00"/>
    </dxf>
    <dxf>
      <numFmt numFmtId="13" formatCode="0%"/>
    </dxf>
    <dxf>
      <numFmt numFmtId="14"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font>
        <b/>
        <color theme="1"/>
      </font>
      <border>
        <bottom style="thin">
          <color theme="5"/>
        </bottom>
        <vertical/>
        <horizontal/>
      </border>
    </dxf>
    <dxf>
      <font>
        <color theme="1"/>
      </font>
      <fill>
        <patternFill>
          <bgColor theme="4" tint="0.7999816888943144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s>
  <tableStyles count="4" defaultTableStyle="TableStyleMedium2" defaultPivotStyle="PivotStyleLight16">
    <tableStyle name="SlicerStyleLight2 2" pivot="0" table="0" count="10" xr9:uid="{7C0ACF1F-B392-41EF-BDAE-8AC4A76D3E40}">
      <tableStyleElement type="wholeTable" dxfId="22"/>
      <tableStyleElement type="headerRow" dxfId="21"/>
    </tableStyle>
    <tableStyle name="SlicerStyleLight2 3" pivot="0" table="0" count="10" xr9:uid="{AE9C8FAB-333B-406F-8B86-23DCDD04D97A}">
      <tableStyleElement type="wholeTable" dxfId="20"/>
      <tableStyleElement type="headerRow" dxfId="19"/>
    </tableStyle>
    <tableStyle name="SlicerStyleLight2 4" pivot="0" table="0" count="10" xr9:uid="{09FB6815-D0EB-4C97-93C1-AFB3EE2F4D5C}">
      <tableStyleElement type="wholeTable" dxfId="18"/>
      <tableStyleElement type="headerRow" dxfId="17"/>
    </tableStyle>
    <tableStyle name="SlicerStyleLight2 5" pivot="0" table="0" count="10" xr9:uid="{A1AC47E0-DFAD-4A65-B5E2-18E1DEF9FB15}">
      <tableStyleElement type="wholeTable" dxfId="16"/>
      <tableStyleElement type="headerRow" dxfId="15"/>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3">
        <x14:slicerStyle name="SlicerStyleLight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1122699066592"/>
          <c:y val="0.25984117216544023"/>
          <c:w val="0.88888877300933411"/>
          <c:h val="0.61904709963131832"/>
        </c:manualLayout>
      </c:layout>
      <c:barChart>
        <c:barDir val="bar"/>
        <c:grouping val="clustered"/>
        <c:varyColors val="0"/>
        <c:ser>
          <c:idx val="0"/>
          <c:order val="0"/>
          <c:tx>
            <c:strRef>
              <c:f>Tables!$N$4</c:f>
              <c:strCache>
                <c:ptCount val="1"/>
                <c:pt idx="0">
                  <c:v>Count of Patient Admission Flag2</c:v>
                </c:pt>
              </c:strCache>
            </c:strRef>
          </c:tx>
          <c:spPr>
            <a:solidFill>
              <a:schemeClr val="accent1"/>
            </a:solidFill>
            <a:ln>
              <a:noFill/>
            </a:ln>
            <a:effectLst/>
          </c:spPr>
          <c:invertIfNegative val="0"/>
          <c:cat>
            <c:strRef>
              <c:f>Tables!$M$5:$M$7</c:f>
              <c:strCache>
                <c:ptCount val="2"/>
                <c:pt idx="0">
                  <c:v>Admitted</c:v>
                </c:pt>
                <c:pt idx="1">
                  <c:v>Not Admitted</c:v>
                </c:pt>
              </c:strCache>
            </c:strRef>
          </c:cat>
          <c:val>
            <c:numRef>
              <c:f>Tables!$N$5:$N$7</c:f>
              <c:numCache>
                <c:formatCode>0.00</c:formatCode>
                <c:ptCount val="2"/>
                <c:pt idx="0">
                  <c:v>242</c:v>
                </c:pt>
                <c:pt idx="1">
                  <c:v>288</c:v>
                </c:pt>
              </c:numCache>
            </c:numRef>
          </c:val>
          <c:extLst>
            <c:ext xmlns:c16="http://schemas.microsoft.com/office/drawing/2014/chart" uri="{C3380CC4-5D6E-409C-BE32-E72D297353CC}">
              <c16:uniqueId val="{00000000-73C5-4C9D-BC81-23942438FBD7}"/>
            </c:ext>
          </c:extLst>
        </c:ser>
        <c:ser>
          <c:idx val="1"/>
          <c:order val="1"/>
          <c:tx>
            <c:strRef>
              <c:f>Tables!$O$4</c:f>
              <c:strCache>
                <c:ptCount val="1"/>
                <c:pt idx="0">
                  <c:v>Count of Patient Admission Flag</c:v>
                </c:pt>
              </c:strCache>
            </c:strRef>
          </c:tx>
          <c:spPr>
            <a:solidFill>
              <a:schemeClr val="accent2"/>
            </a:solidFill>
            <a:ln>
              <a:noFill/>
            </a:ln>
            <a:effectLst/>
          </c:spPr>
          <c:invertIfNegative val="0"/>
          <c:cat>
            <c:strRef>
              <c:f>Tables!$M$5:$M$7</c:f>
              <c:strCache>
                <c:ptCount val="2"/>
                <c:pt idx="0">
                  <c:v>Admitted</c:v>
                </c:pt>
                <c:pt idx="1">
                  <c:v>Not Admitted</c:v>
                </c:pt>
              </c:strCache>
            </c:strRef>
          </c:cat>
          <c:val>
            <c:numRef>
              <c:f>Tables!$O$5:$O$7</c:f>
              <c:numCache>
                <c:formatCode>0.00%</c:formatCode>
                <c:ptCount val="2"/>
                <c:pt idx="0">
                  <c:v>0.45660377358490567</c:v>
                </c:pt>
                <c:pt idx="1">
                  <c:v>0.54339622641509433</c:v>
                </c:pt>
              </c:numCache>
            </c:numRef>
          </c:val>
          <c:extLst>
            <c:ext xmlns:c16="http://schemas.microsoft.com/office/drawing/2014/chart" uri="{C3380CC4-5D6E-409C-BE32-E72D297353CC}">
              <c16:uniqueId val="{00000001-73C5-4C9D-BC81-23942438FBD7}"/>
            </c:ext>
          </c:extLst>
        </c:ser>
        <c:dLbls>
          <c:showLegendKey val="0"/>
          <c:showVal val="0"/>
          <c:showCatName val="0"/>
          <c:showSerName val="0"/>
          <c:showPercent val="0"/>
          <c:showBubbleSize val="0"/>
        </c:dLbls>
        <c:gapWidth val="182"/>
        <c:axId val="377566096"/>
        <c:axId val="377566456"/>
      </c:barChart>
      <c:catAx>
        <c:axId val="377566096"/>
        <c:scaling>
          <c:orientation val="minMax"/>
        </c:scaling>
        <c:delete val="1"/>
        <c:axPos val="l"/>
        <c:numFmt formatCode="General" sourceLinked="1"/>
        <c:majorTickMark val="none"/>
        <c:minorTickMark val="none"/>
        <c:tickLblPos val="nextTo"/>
        <c:crossAx val="377566456"/>
        <c:crosses val="autoZero"/>
        <c:auto val="1"/>
        <c:lblAlgn val="ctr"/>
        <c:lblOffset val="100"/>
        <c:noMultiLvlLbl val="0"/>
      </c:catAx>
      <c:valAx>
        <c:axId val="377566456"/>
        <c:scaling>
          <c:orientation val="minMax"/>
        </c:scaling>
        <c:delete val="1"/>
        <c:axPos val="b"/>
        <c:numFmt formatCode="0.00" sourceLinked="1"/>
        <c:majorTickMark val="none"/>
        <c:minorTickMark val="none"/>
        <c:tickLblPos val="nextTo"/>
        <c:crossAx val="37756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HHospital.xlsx]Tables!PivotTable5</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37855844942459E-3"/>
          <c:y val="0"/>
          <c:w val="0.99624621441550576"/>
          <c:h val="1"/>
        </c:manualLayout>
      </c:layout>
      <c:lineChart>
        <c:grouping val="standard"/>
        <c:varyColors val="0"/>
        <c:ser>
          <c:idx val="0"/>
          <c:order val="0"/>
          <c:tx>
            <c:strRef>
              <c:f>Tables!$E$13</c:f>
              <c:strCache>
                <c:ptCount val="1"/>
                <c:pt idx="0">
                  <c:v>Total</c:v>
                </c:pt>
              </c:strCache>
            </c:strRef>
          </c:tx>
          <c:spPr>
            <a:ln w="28575" cap="rnd">
              <a:solidFill>
                <a:schemeClr val="accent1"/>
              </a:solidFill>
              <a:round/>
            </a:ln>
            <a:effectLst/>
          </c:spPr>
          <c:marker>
            <c:symbol val="none"/>
          </c:marker>
          <c:cat>
            <c:strRef>
              <c:f>Tables!$D$14:$D$45</c:f>
              <c:strCache>
                <c:ptCount val="31"/>
                <c:pt idx="0">
                  <c:v>01-08-2024</c:v>
                </c:pt>
                <c:pt idx="1">
                  <c:v>02-08-2024</c:v>
                </c:pt>
                <c:pt idx="2">
                  <c:v>03-08-2024</c:v>
                </c:pt>
                <c:pt idx="3">
                  <c:v>04-08-2024</c:v>
                </c:pt>
                <c:pt idx="4">
                  <c:v>05-08-2024</c:v>
                </c:pt>
                <c:pt idx="5">
                  <c:v>06-08-2024</c:v>
                </c:pt>
                <c:pt idx="6">
                  <c:v>07-08-2024</c:v>
                </c:pt>
                <c:pt idx="7">
                  <c:v>08-08-2024</c:v>
                </c:pt>
                <c:pt idx="8">
                  <c:v>09-08-2024</c:v>
                </c:pt>
                <c:pt idx="9">
                  <c:v>10-08-2024</c:v>
                </c:pt>
                <c:pt idx="10">
                  <c:v>11-08-2024</c:v>
                </c:pt>
                <c:pt idx="11">
                  <c:v>12-08-2024</c:v>
                </c:pt>
                <c:pt idx="12">
                  <c:v>13-08-2024</c:v>
                </c:pt>
                <c:pt idx="13">
                  <c:v>14-08-2024</c:v>
                </c:pt>
                <c:pt idx="14">
                  <c:v>15-08-2024</c:v>
                </c:pt>
                <c:pt idx="15">
                  <c:v>16-08-2024</c:v>
                </c:pt>
                <c:pt idx="16">
                  <c:v>17-08-2024</c:v>
                </c:pt>
                <c:pt idx="17">
                  <c:v>18-08-2024</c:v>
                </c:pt>
                <c:pt idx="18">
                  <c:v>19-08-2024</c:v>
                </c:pt>
                <c:pt idx="19">
                  <c:v>20-08-2024</c:v>
                </c:pt>
                <c:pt idx="20">
                  <c:v>21-08-2024</c:v>
                </c:pt>
                <c:pt idx="21">
                  <c:v>22-08-2024</c:v>
                </c:pt>
                <c:pt idx="22">
                  <c:v>23-08-2024</c:v>
                </c:pt>
                <c:pt idx="23">
                  <c:v>24-08-2024</c:v>
                </c:pt>
                <c:pt idx="24">
                  <c:v>25-08-2024</c:v>
                </c:pt>
                <c:pt idx="25">
                  <c:v>26-08-2024</c:v>
                </c:pt>
                <c:pt idx="26">
                  <c:v>27-08-2024</c:v>
                </c:pt>
                <c:pt idx="27">
                  <c:v>28-08-2024</c:v>
                </c:pt>
                <c:pt idx="28">
                  <c:v>29-08-2024</c:v>
                </c:pt>
                <c:pt idx="29">
                  <c:v>30-08-2024</c:v>
                </c:pt>
                <c:pt idx="30">
                  <c:v>31-08-2024</c:v>
                </c:pt>
              </c:strCache>
            </c:strRef>
          </c:cat>
          <c:val>
            <c:numRef>
              <c:f>Tables!$E$14:$E$45</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smooth val="0"/>
          <c:extLst>
            <c:ext xmlns:c16="http://schemas.microsoft.com/office/drawing/2014/chart" uri="{C3380CC4-5D6E-409C-BE32-E72D297353CC}">
              <c16:uniqueId val="{00000000-7BD5-4B35-BBC5-B8E0A3A116F1}"/>
            </c:ext>
          </c:extLst>
        </c:ser>
        <c:dLbls>
          <c:showLegendKey val="0"/>
          <c:showVal val="0"/>
          <c:showCatName val="0"/>
          <c:showSerName val="0"/>
          <c:showPercent val="0"/>
          <c:showBubbleSize val="0"/>
        </c:dLbls>
        <c:smooth val="0"/>
        <c:axId val="280502624"/>
        <c:axId val="280481024"/>
      </c:lineChart>
      <c:catAx>
        <c:axId val="280502624"/>
        <c:scaling>
          <c:orientation val="minMax"/>
        </c:scaling>
        <c:delete val="1"/>
        <c:axPos val="b"/>
        <c:numFmt formatCode="General" sourceLinked="1"/>
        <c:majorTickMark val="none"/>
        <c:minorTickMark val="none"/>
        <c:tickLblPos val="nextTo"/>
        <c:crossAx val="280481024"/>
        <c:crosses val="autoZero"/>
        <c:auto val="1"/>
        <c:lblAlgn val="ctr"/>
        <c:lblOffset val="100"/>
        <c:noMultiLvlLbl val="0"/>
      </c:catAx>
      <c:valAx>
        <c:axId val="280481024"/>
        <c:scaling>
          <c:orientation val="minMax"/>
        </c:scaling>
        <c:delete val="1"/>
        <c:axPos val="l"/>
        <c:numFmt formatCode="General" sourceLinked="1"/>
        <c:majorTickMark val="none"/>
        <c:minorTickMark val="none"/>
        <c:tickLblPos val="nextTo"/>
        <c:crossAx val="280502624"/>
        <c:crosses val="autoZero"/>
        <c:crossBetween val="between"/>
      </c:valAx>
      <c:spPr>
        <a:solidFill>
          <a:schemeClr val="accent1">
            <a:lumMod val="40000"/>
            <a:lumOff val="60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12534147517263E-3"/>
          <c:y val="0.56174915635545553"/>
          <c:w val="0.93888888888888888"/>
          <c:h val="0.4230393700787401"/>
        </c:manualLayout>
      </c:layout>
      <c:areaChart>
        <c:grouping val="standard"/>
        <c:varyColors val="0"/>
        <c:ser>
          <c:idx val="0"/>
          <c:order val="0"/>
          <c:tx>
            <c:strRef>
              <c:f>Tables!$H$2</c:f>
              <c:strCache>
                <c:ptCount val="1"/>
                <c:pt idx="0">
                  <c:v>Total</c:v>
                </c:pt>
              </c:strCache>
            </c:strRef>
          </c:tx>
          <c:spPr>
            <a:solidFill>
              <a:schemeClr val="accent1"/>
            </a:solidFill>
            <a:ln w="25400">
              <a:noFill/>
            </a:ln>
            <a:effectLst/>
          </c:spPr>
          <c:cat>
            <c:strRef>
              <c:f>Tables!$G$3:$G$34</c:f>
              <c:strCache>
                <c:ptCount val="31"/>
                <c:pt idx="0">
                  <c:v>01-08-2024</c:v>
                </c:pt>
                <c:pt idx="1">
                  <c:v>02-08-2024</c:v>
                </c:pt>
                <c:pt idx="2">
                  <c:v>03-08-2024</c:v>
                </c:pt>
                <c:pt idx="3">
                  <c:v>04-08-2024</c:v>
                </c:pt>
                <c:pt idx="4">
                  <c:v>05-08-2024</c:v>
                </c:pt>
                <c:pt idx="5">
                  <c:v>06-08-2024</c:v>
                </c:pt>
                <c:pt idx="6">
                  <c:v>07-08-2024</c:v>
                </c:pt>
                <c:pt idx="7">
                  <c:v>08-08-2024</c:v>
                </c:pt>
                <c:pt idx="8">
                  <c:v>09-08-2024</c:v>
                </c:pt>
                <c:pt idx="9">
                  <c:v>10-08-2024</c:v>
                </c:pt>
                <c:pt idx="10">
                  <c:v>11-08-2024</c:v>
                </c:pt>
                <c:pt idx="11">
                  <c:v>12-08-2024</c:v>
                </c:pt>
                <c:pt idx="12">
                  <c:v>13-08-2024</c:v>
                </c:pt>
                <c:pt idx="13">
                  <c:v>14-08-2024</c:v>
                </c:pt>
                <c:pt idx="14">
                  <c:v>15-08-2024</c:v>
                </c:pt>
                <c:pt idx="15">
                  <c:v>16-08-2024</c:v>
                </c:pt>
                <c:pt idx="16">
                  <c:v>17-08-2024</c:v>
                </c:pt>
                <c:pt idx="17">
                  <c:v>18-08-2024</c:v>
                </c:pt>
                <c:pt idx="18">
                  <c:v>19-08-2024</c:v>
                </c:pt>
                <c:pt idx="19">
                  <c:v>20-08-2024</c:v>
                </c:pt>
                <c:pt idx="20">
                  <c:v>21-08-2024</c:v>
                </c:pt>
                <c:pt idx="21">
                  <c:v>22-08-2024</c:v>
                </c:pt>
                <c:pt idx="22">
                  <c:v>23-08-2024</c:v>
                </c:pt>
                <c:pt idx="23">
                  <c:v>24-08-2024</c:v>
                </c:pt>
                <c:pt idx="24">
                  <c:v>25-08-2024</c:v>
                </c:pt>
                <c:pt idx="25">
                  <c:v>26-08-2024</c:v>
                </c:pt>
                <c:pt idx="26">
                  <c:v>27-08-2024</c:v>
                </c:pt>
                <c:pt idx="27">
                  <c:v>28-08-2024</c:v>
                </c:pt>
                <c:pt idx="28">
                  <c:v>29-08-2024</c:v>
                </c:pt>
                <c:pt idx="29">
                  <c:v>30-08-2024</c:v>
                </c:pt>
                <c:pt idx="30">
                  <c:v>31-08-2024</c:v>
                </c:pt>
              </c:strCache>
            </c:strRef>
          </c:cat>
          <c:val>
            <c:numRef>
              <c:f>Tables!$H$3:$H$34</c:f>
              <c:numCache>
                <c:formatCode>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1EC2-45F2-BFB4-29B5AFE48F42}"/>
            </c:ext>
          </c:extLst>
        </c:ser>
        <c:dLbls>
          <c:showLegendKey val="0"/>
          <c:showVal val="0"/>
          <c:showCatName val="0"/>
          <c:showSerName val="0"/>
          <c:showPercent val="0"/>
          <c:showBubbleSize val="0"/>
        </c:dLbls>
        <c:axId val="599734088"/>
        <c:axId val="599733728"/>
      </c:areaChart>
      <c:catAx>
        <c:axId val="599734088"/>
        <c:scaling>
          <c:orientation val="minMax"/>
        </c:scaling>
        <c:delete val="1"/>
        <c:axPos val="b"/>
        <c:numFmt formatCode="General" sourceLinked="1"/>
        <c:majorTickMark val="out"/>
        <c:minorTickMark val="none"/>
        <c:tickLblPos val="nextTo"/>
        <c:crossAx val="599733728"/>
        <c:crosses val="autoZero"/>
        <c:auto val="1"/>
        <c:lblAlgn val="ctr"/>
        <c:lblOffset val="100"/>
        <c:noMultiLvlLbl val="0"/>
      </c:catAx>
      <c:valAx>
        <c:axId val="599733728"/>
        <c:scaling>
          <c:orientation val="minMax"/>
        </c:scaling>
        <c:delete val="1"/>
        <c:axPos val="l"/>
        <c:numFmt formatCode="0" sourceLinked="1"/>
        <c:majorTickMark val="none"/>
        <c:minorTickMark val="none"/>
        <c:tickLblPos val="nextTo"/>
        <c:crossAx val="59973408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8019323671498"/>
          <c:y val="0.45652173913043476"/>
          <c:w val="0.7874396135265701"/>
          <c:h val="0.52173913043478259"/>
        </c:manualLayout>
      </c:layout>
      <c:areaChart>
        <c:grouping val="standard"/>
        <c:varyColors val="0"/>
        <c:ser>
          <c:idx val="0"/>
          <c:order val="0"/>
          <c:tx>
            <c:strRef>
              <c:f>Tables!$K$2</c:f>
              <c:strCache>
                <c:ptCount val="1"/>
                <c:pt idx="0">
                  <c:v>Total</c:v>
                </c:pt>
              </c:strCache>
            </c:strRef>
          </c:tx>
          <c:spPr>
            <a:solidFill>
              <a:schemeClr val="accent1"/>
            </a:solidFill>
            <a:ln w="25400">
              <a:noFill/>
            </a:ln>
            <a:effectLst/>
          </c:spPr>
          <c:cat>
            <c:strRef>
              <c:f>Tables!$J$3:$J$33</c:f>
              <c:strCache>
                <c:ptCount val="30"/>
                <c:pt idx="0">
                  <c:v>01-08-2024</c:v>
                </c:pt>
                <c:pt idx="1">
                  <c:v>02-08-2024</c:v>
                </c:pt>
                <c:pt idx="2">
                  <c:v>03-08-2024</c:v>
                </c:pt>
                <c:pt idx="3">
                  <c:v>04-08-2024</c:v>
                </c:pt>
                <c:pt idx="4">
                  <c:v>05-08-2024</c:v>
                </c:pt>
                <c:pt idx="5">
                  <c:v>06-08-2024</c:v>
                </c:pt>
                <c:pt idx="6">
                  <c:v>08-08-2024</c:v>
                </c:pt>
                <c:pt idx="7">
                  <c:v>09-08-2024</c:v>
                </c:pt>
                <c:pt idx="8">
                  <c:v>10-08-2024</c:v>
                </c:pt>
                <c:pt idx="9">
                  <c:v>11-08-2024</c:v>
                </c:pt>
                <c:pt idx="10">
                  <c:v>12-08-2024</c:v>
                </c:pt>
                <c:pt idx="11">
                  <c:v>13-08-2024</c:v>
                </c:pt>
                <c:pt idx="12">
                  <c:v>14-08-2024</c:v>
                </c:pt>
                <c:pt idx="13">
                  <c:v>15-08-2024</c:v>
                </c:pt>
                <c:pt idx="14">
                  <c:v>16-08-2024</c:v>
                </c:pt>
                <c:pt idx="15">
                  <c:v>17-08-2024</c:v>
                </c:pt>
                <c:pt idx="16">
                  <c:v>18-08-2024</c:v>
                </c:pt>
                <c:pt idx="17">
                  <c:v>19-08-2024</c:v>
                </c:pt>
                <c:pt idx="18">
                  <c:v>20-08-2024</c:v>
                </c:pt>
                <c:pt idx="19">
                  <c:v>21-08-2024</c:v>
                </c:pt>
                <c:pt idx="20">
                  <c:v>22-08-2024</c:v>
                </c:pt>
                <c:pt idx="21">
                  <c:v>23-08-2024</c:v>
                </c:pt>
                <c:pt idx="22">
                  <c:v>24-08-2024</c:v>
                </c:pt>
                <c:pt idx="23">
                  <c:v>25-08-2024</c:v>
                </c:pt>
                <c:pt idx="24">
                  <c:v>26-08-2024</c:v>
                </c:pt>
                <c:pt idx="25">
                  <c:v>27-08-2024</c:v>
                </c:pt>
                <c:pt idx="26">
                  <c:v>28-08-2024</c:v>
                </c:pt>
                <c:pt idx="27">
                  <c:v>29-08-2024</c:v>
                </c:pt>
                <c:pt idx="28">
                  <c:v>30-08-2024</c:v>
                </c:pt>
                <c:pt idx="29">
                  <c:v>31-08-2024</c:v>
                </c:pt>
              </c:strCache>
            </c:strRef>
          </c:cat>
          <c:val>
            <c:numRef>
              <c:f>Tables!$K$3:$K$33</c:f>
              <c:numCache>
                <c:formatCode>0</c:formatCode>
                <c:ptCount val="30"/>
                <c:pt idx="0">
                  <c:v>36</c:v>
                </c:pt>
                <c:pt idx="1">
                  <c:v>28</c:v>
                </c:pt>
                <c:pt idx="2">
                  <c:v>37</c:v>
                </c:pt>
                <c:pt idx="3">
                  <c:v>9</c:v>
                </c:pt>
                <c:pt idx="4">
                  <c:v>24</c:v>
                </c:pt>
                <c:pt idx="5">
                  <c:v>19</c:v>
                </c:pt>
                <c:pt idx="6">
                  <c:v>9</c:v>
                </c:pt>
                <c:pt idx="7">
                  <c:v>12</c:v>
                </c:pt>
                <c:pt idx="8">
                  <c:v>20</c:v>
                </c:pt>
                <c:pt idx="9">
                  <c:v>8</c:v>
                </c:pt>
                <c:pt idx="10">
                  <c:v>11</c:v>
                </c:pt>
                <c:pt idx="11">
                  <c:v>12</c:v>
                </c:pt>
                <c:pt idx="12">
                  <c:v>15</c:v>
                </c:pt>
                <c:pt idx="13">
                  <c:v>22</c:v>
                </c:pt>
                <c:pt idx="14">
                  <c:v>15</c:v>
                </c:pt>
                <c:pt idx="15">
                  <c:v>20</c:v>
                </c:pt>
                <c:pt idx="16">
                  <c:v>7</c:v>
                </c:pt>
                <c:pt idx="17">
                  <c:v>13</c:v>
                </c:pt>
                <c:pt idx="18">
                  <c:v>35</c:v>
                </c:pt>
                <c:pt idx="19">
                  <c:v>9</c:v>
                </c:pt>
                <c:pt idx="20">
                  <c:v>15</c:v>
                </c:pt>
                <c:pt idx="21">
                  <c:v>20</c:v>
                </c:pt>
                <c:pt idx="22">
                  <c:v>4</c:v>
                </c:pt>
                <c:pt idx="23">
                  <c:v>25</c:v>
                </c:pt>
                <c:pt idx="24">
                  <c:v>13</c:v>
                </c:pt>
                <c:pt idx="25">
                  <c:v>24</c:v>
                </c:pt>
                <c:pt idx="26">
                  <c:v>48</c:v>
                </c:pt>
                <c:pt idx="27">
                  <c:v>10</c:v>
                </c:pt>
                <c:pt idx="28">
                  <c:v>20</c:v>
                </c:pt>
                <c:pt idx="29">
                  <c:v>45</c:v>
                </c:pt>
              </c:numCache>
            </c:numRef>
          </c:val>
          <c:extLst>
            <c:ext xmlns:c16="http://schemas.microsoft.com/office/drawing/2014/chart" uri="{C3380CC4-5D6E-409C-BE32-E72D297353CC}">
              <c16:uniqueId val="{00000000-0BE0-4C79-AE88-3F145A276CA3}"/>
            </c:ext>
          </c:extLst>
        </c:ser>
        <c:dLbls>
          <c:showLegendKey val="0"/>
          <c:showVal val="0"/>
          <c:showCatName val="0"/>
          <c:showSerName val="0"/>
          <c:showPercent val="0"/>
          <c:showBubbleSize val="0"/>
        </c:dLbls>
        <c:axId val="839398960"/>
        <c:axId val="839401120"/>
      </c:areaChart>
      <c:catAx>
        <c:axId val="839398960"/>
        <c:scaling>
          <c:orientation val="minMax"/>
        </c:scaling>
        <c:delete val="1"/>
        <c:axPos val="b"/>
        <c:numFmt formatCode="General" sourceLinked="1"/>
        <c:majorTickMark val="out"/>
        <c:minorTickMark val="none"/>
        <c:tickLblPos val="nextTo"/>
        <c:crossAx val="839401120"/>
        <c:crosses val="autoZero"/>
        <c:auto val="1"/>
        <c:lblAlgn val="ctr"/>
        <c:lblOffset val="100"/>
        <c:noMultiLvlLbl val="0"/>
      </c:catAx>
      <c:valAx>
        <c:axId val="839401120"/>
        <c:scaling>
          <c:orientation val="minMax"/>
        </c:scaling>
        <c:delete val="1"/>
        <c:axPos val="l"/>
        <c:numFmt formatCode="0" sourceLinked="1"/>
        <c:majorTickMark val="none"/>
        <c:minorTickMark val="none"/>
        <c:tickLblPos val="nextTo"/>
        <c:crossAx val="83939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2.1577890998919252E-2"/>
          <c:y val="1.4880639920010012E-2"/>
          <c:w val="0.68487439070116241"/>
          <c:h val="0.97023872015998003"/>
        </c:manualLayout>
      </c:layout>
      <c:doughnutChart>
        <c:varyColors val="1"/>
        <c:ser>
          <c:idx val="0"/>
          <c:order val="0"/>
          <c:tx>
            <c:strRef>
              <c:f>Tables!$U$3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DE-4D6B-8EAA-07BB53A812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DE-4D6B-8EAA-07BB53A8120D}"/>
              </c:ext>
            </c:extLst>
          </c:dPt>
          <c:dLbls>
            <c:spPr>
              <a:noFill/>
              <a:ln>
                <a:noFill/>
              </a:ln>
              <a:effectLst/>
            </c:spPr>
            <c:txPr>
              <a:bodyPr rot="0" spcFirstLastPara="1" vertOverflow="ellipsis" vert="horz" wrap="square" anchor="ctr" anchorCtr="1"/>
              <a:lstStyle/>
              <a:p>
                <a:pPr>
                  <a:defRPr sz="900" b="1"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Tables!$T$4:$T$6</c:f>
              <c:strCache>
                <c:ptCount val="2"/>
                <c:pt idx="0">
                  <c:v>Female</c:v>
                </c:pt>
                <c:pt idx="1">
                  <c:v>Male</c:v>
                </c:pt>
              </c:strCache>
            </c:strRef>
          </c:cat>
          <c:val>
            <c:numRef>
              <c:f>Tables!$U$4:$U$6</c:f>
              <c:numCache>
                <c:formatCode>0%</c:formatCode>
                <c:ptCount val="2"/>
                <c:pt idx="0">
                  <c:v>0.48867924528301887</c:v>
                </c:pt>
                <c:pt idx="1">
                  <c:v>0.51132075471698113</c:v>
                </c:pt>
              </c:numCache>
            </c:numRef>
          </c:val>
          <c:extLst>
            <c:ext xmlns:c16="http://schemas.microsoft.com/office/drawing/2014/chart" uri="{C3380CC4-5D6E-409C-BE32-E72D297353CC}">
              <c16:uniqueId val="{00000004-1620-49AE-AD6A-A77BF3C23ACE}"/>
            </c:ext>
          </c:extLst>
        </c:ser>
        <c:dLbls>
          <c:showLegendKey val="0"/>
          <c:showVal val="0"/>
          <c:showCatName val="0"/>
          <c:showSerName val="0"/>
          <c:showPercent val="0"/>
          <c:showBubbleSize val="0"/>
          <c:showLeaderLines val="1"/>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88393828820177"/>
          <c:y val="9.1420454545454541E-2"/>
          <c:w val="0.63492093976057873"/>
          <c:h val="0.80518029706513972"/>
        </c:manualLayout>
      </c:layout>
      <c:barChart>
        <c:barDir val="bar"/>
        <c:grouping val="clustered"/>
        <c:varyColors val="0"/>
        <c:ser>
          <c:idx val="0"/>
          <c:order val="0"/>
          <c:tx>
            <c:strRef>
              <c:f>Tables!$U$11</c:f>
              <c:strCache>
                <c:ptCount val="1"/>
                <c:pt idx="0">
                  <c:v>Total</c:v>
                </c:pt>
              </c:strCache>
            </c:strRef>
          </c:tx>
          <c:spPr>
            <a:solidFill>
              <a:schemeClr val="accent1"/>
            </a:solidFill>
            <a:ln>
              <a:noFill/>
            </a:ln>
            <a:effectLst/>
          </c:spPr>
          <c:invertIfNegative val="0"/>
          <c:cat>
            <c:strRef>
              <c:f>Tables!$T$12:$T$20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Tables!$U$12:$U$20</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0-445B-4560-9CC0-12FCE2346BC7}"/>
            </c:ext>
          </c:extLst>
        </c:ser>
        <c:dLbls>
          <c:showLegendKey val="0"/>
          <c:showVal val="0"/>
          <c:showCatName val="0"/>
          <c:showSerName val="0"/>
          <c:showPercent val="0"/>
          <c:showBubbleSize val="0"/>
        </c:dLbls>
        <c:gapWidth val="182"/>
        <c:axId val="2119793520"/>
        <c:axId val="2119797120"/>
      </c:barChart>
      <c:catAx>
        <c:axId val="21197935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9797120"/>
        <c:crosses val="autoZero"/>
        <c:auto val="1"/>
        <c:lblAlgn val="ctr"/>
        <c:lblOffset val="100"/>
        <c:noMultiLvlLbl val="0"/>
      </c:catAx>
      <c:valAx>
        <c:axId val="21197971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979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2054388759061E-2"/>
          <c:y val="4.6875E-2"/>
          <c:w val="0.86779155441108613"/>
          <c:h val="0.63907603346456698"/>
        </c:manualLayout>
      </c:layout>
      <c:barChart>
        <c:barDir val="col"/>
        <c:grouping val="clustered"/>
        <c:varyColors val="0"/>
        <c:ser>
          <c:idx val="0"/>
          <c:order val="0"/>
          <c:tx>
            <c:strRef>
              <c:f>Tables!$X$4</c:f>
              <c:strCache>
                <c:ptCount val="1"/>
                <c:pt idx="0">
                  <c:v>Total</c:v>
                </c:pt>
              </c:strCache>
            </c:strRef>
          </c:tx>
          <c:spPr>
            <a:solidFill>
              <a:schemeClr val="accent1"/>
            </a:solidFill>
            <a:ln>
              <a:noFill/>
            </a:ln>
            <a:effectLst/>
          </c:spPr>
          <c:invertIfNegative val="0"/>
          <c:cat>
            <c:strRef>
              <c:f>Tables!$W$5:$W$13</c:f>
              <c:strCache>
                <c:ptCount val="8"/>
                <c:pt idx="0">
                  <c:v>0-9</c:v>
                </c:pt>
                <c:pt idx="1">
                  <c:v>10-19</c:v>
                </c:pt>
                <c:pt idx="2">
                  <c:v>20-29</c:v>
                </c:pt>
                <c:pt idx="3">
                  <c:v>30-39</c:v>
                </c:pt>
                <c:pt idx="4">
                  <c:v>40-49</c:v>
                </c:pt>
                <c:pt idx="5">
                  <c:v>50-59</c:v>
                </c:pt>
                <c:pt idx="6">
                  <c:v>60-69</c:v>
                </c:pt>
                <c:pt idx="7">
                  <c:v>70-79</c:v>
                </c:pt>
              </c:strCache>
            </c:strRef>
          </c:cat>
          <c:val>
            <c:numRef>
              <c:f>Tables!$X$5:$X$13</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0-894A-4D93-AC56-7E3F7E05B7F1}"/>
            </c:ext>
          </c:extLst>
        </c:ser>
        <c:dLbls>
          <c:showLegendKey val="0"/>
          <c:showVal val="0"/>
          <c:showCatName val="0"/>
          <c:showSerName val="0"/>
          <c:showPercent val="0"/>
          <c:showBubbleSize val="0"/>
        </c:dLbls>
        <c:gapWidth val="219"/>
        <c:overlap val="-27"/>
        <c:axId val="2127507608"/>
        <c:axId val="2127506168"/>
      </c:barChart>
      <c:catAx>
        <c:axId val="2127507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7506168"/>
        <c:crosses val="autoZero"/>
        <c:auto val="1"/>
        <c:lblAlgn val="ctr"/>
        <c:lblOffset val="100"/>
        <c:noMultiLvlLbl val="0"/>
      </c:catAx>
      <c:valAx>
        <c:axId val="2127506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7507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HHospital.xlsx]Tables!PivotTable12</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5.9759809435585259E-2"/>
          <c:y val="7.9172183123127321E-2"/>
          <c:w val="0.64984119632104809"/>
          <c:h val="0.68434603860358167"/>
        </c:manualLayout>
      </c:layout>
      <c:pieChart>
        <c:varyColors val="1"/>
        <c:ser>
          <c:idx val="0"/>
          <c:order val="0"/>
          <c:tx>
            <c:strRef>
              <c:f>Tables!$AA$4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E6-4851-8B29-BABC8B44D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E6-4851-8B29-BABC8B44DF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Tables!$Z$5:$Z$7</c:f>
              <c:strCache>
                <c:ptCount val="2"/>
                <c:pt idx="0">
                  <c:v>Delay</c:v>
                </c:pt>
                <c:pt idx="1">
                  <c:v>On Time</c:v>
                </c:pt>
              </c:strCache>
            </c:strRef>
          </c:cat>
          <c:val>
            <c:numRef>
              <c:f>Tables!$AA$5:$AA$7</c:f>
              <c:numCache>
                <c:formatCode>0%</c:formatCode>
                <c:ptCount val="2"/>
                <c:pt idx="0">
                  <c:v>0.60943396226415092</c:v>
                </c:pt>
                <c:pt idx="1">
                  <c:v>0.39056603773584908</c:v>
                </c:pt>
              </c:numCache>
            </c:numRef>
          </c:val>
          <c:extLst>
            <c:ext xmlns:c16="http://schemas.microsoft.com/office/drawing/2014/chart" uri="{C3380CC4-5D6E-409C-BE32-E72D297353CC}">
              <c16:uniqueId val="{00000004-39F8-4C09-ABA3-B87613FB5FC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074306888109582"/>
          <c:y val="3.3017908159710126E-2"/>
          <c:w val="0.30925724947482519"/>
          <c:h val="0.493093876271812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22222222222221E-2"/>
          <c:y val="0.10185185185185185"/>
          <c:w val="0.93888888888888888"/>
          <c:h val="0.89814814814814814"/>
        </c:manualLayout>
      </c:layout>
      <c:areaChart>
        <c:grouping val="standard"/>
        <c:varyColors val="0"/>
        <c:ser>
          <c:idx val="0"/>
          <c:order val="0"/>
          <c:tx>
            <c:strRef>
              <c:f>Tables!$K$2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Tables!$J$3:$J$33</c:f>
              <c:strCache>
                <c:ptCount val="30"/>
                <c:pt idx="0">
                  <c:v>01-08-2024</c:v>
                </c:pt>
                <c:pt idx="1">
                  <c:v>02-08-2024</c:v>
                </c:pt>
                <c:pt idx="2">
                  <c:v>03-08-2024</c:v>
                </c:pt>
                <c:pt idx="3">
                  <c:v>04-08-2024</c:v>
                </c:pt>
                <c:pt idx="4">
                  <c:v>05-08-2024</c:v>
                </c:pt>
                <c:pt idx="5">
                  <c:v>06-08-2024</c:v>
                </c:pt>
                <c:pt idx="6">
                  <c:v>08-08-2024</c:v>
                </c:pt>
                <c:pt idx="7">
                  <c:v>09-08-2024</c:v>
                </c:pt>
                <c:pt idx="8">
                  <c:v>10-08-2024</c:v>
                </c:pt>
                <c:pt idx="9">
                  <c:v>11-08-2024</c:v>
                </c:pt>
                <c:pt idx="10">
                  <c:v>12-08-2024</c:v>
                </c:pt>
                <c:pt idx="11">
                  <c:v>13-08-2024</c:v>
                </c:pt>
                <c:pt idx="12">
                  <c:v>14-08-2024</c:v>
                </c:pt>
                <c:pt idx="13">
                  <c:v>15-08-2024</c:v>
                </c:pt>
                <c:pt idx="14">
                  <c:v>16-08-2024</c:v>
                </c:pt>
                <c:pt idx="15">
                  <c:v>17-08-2024</c:v>
                </c:pt>
                <c:pt idx="16">
                  <c:v>18-08-2024</c:v>
                </c:pt>
                <c:pt idx="17">
                  <c:v>19-08-2024</c:v>
                </c:pt>
                <c:pt idx="18">
                  <c:v>20-08-2024</c:v>
                </c:pt>
                <c:pt idx="19">
                  <c:v>21-08-2024</c:v>
                </c:pt>
                <c:pt idx="20">
                  <c:v>22-08-2024</c:v>
                </c:pt>
                <c:pt idx="21">
                  <c:v>23-08-2024</c:v>
                </c:pt>
                <c:pt idx="22">
                  <c:v>24-08-2024</c:v>
                </c:pt>
                <c:pt idx="23">
                  <c:v>25-08-2024</c:v>
                </c:pt>
                <c:pt idx="24">
                  <c:v>26-08-2024</c:v>
                </c:pt>
                <c:pt idx="25">
                  <c:v>27-08-2024</c:v>
                </c:pt>
                <c:pt idx="26">
                  <c:v>28-08-2024</c:v>
                </c:pt>
                <c:pt idx="27">
                  <c:v>29-08-2024</c:v>
                </c:pt>
                <c:pt idx="28">
                  <c:v>30-08-2024</c:v>
                </c:pt>
                <c:pt idx="29">
                  <c:v>31-08-2024</c:v>
                </c:pt>
              </c:strCache>
            </c:strRef>
          </c:cat>
          <c:val>
            <c:numRef>
              <c:f>Tables!$K$3:$K$33</c:f>
              <c:numCache>
                <c:formatCode>0</c:formatCode>
                <c:ptCount val="30"/>
                <c:pt idx="0">
                  <c:v>36</c:v>
                </c:pt>
                <c:pt idx="1">
                  <c:v>28</c:v>
                </c:pt>
                <c:pt idx="2">
                  <c:v>37</c:v>
                </c:pt>
                <c:pt idx="3">
                  <c:v>9</c:v>
                </c:pt>
                <c:pt idx="4">
                  <c:v>24</c:v>
                </c:pt>
                <c:pt idx="5">
                  <c:v>19</c:v>
                </c:pt>
                <c:pt idx="6">
                  <c:v>9</c:v>
                </c:pt>
                <c:pt idx="7">
                  <c:v>12</c:v>
                </c:pt>
                <c:pt idx="8">
                  <c:v>20</c:v>
                </c:pt>
                <c:pt idx="9">
                  <c:v>8</c:v>
                </c:pt>
                <c:pt idx="10">
                  <c:v>11</c:v>
                </c:pt>
                <c:pt idx="11">
                  <c:v>12</c:v>
                </c:pt>
                <c:pt idx="12">
                  <c:v>15</c:v>
                </c:pt>
                <c:pt idx="13">
                  <c:v>22</c:v>
                </c:pt>
                <c:pt idx="14">
                  <c:v>15</c:v>
                </c:pt>
                <c:pt idx="15">
                  <c:v>20</c:v>
                </c:pt>
                <c:pt idx="16">
                  <c:v>7</c:v>
                </c:pt>
                <c:pt idx="17">
                  <c:v>13</c:v>
                </c:pt>
                <c:pt idx="18">
                  <c:v>35</c:v>
                </c:pt>
                <c:pt idx="19">
                  <c:v>9</c:v>
                </c:pt>
                <c:pt idx="20">
                  <c:v>15</c:v>
                </c:pt>
                <c:pt idx="21">
                  <c:v>20</c:v>
                </c:pt>
                <c:pt idx="22">
                  <c:v>4</c:v>
                </c:pt>
                <c:pt idx="23">
                  <c:v>25</c:v>
                </c:pt>
                <c:pt idx="24">
                  <c:v>13</c:v>
                </c:pt>
                <c:pt idx="25">
                  <c:v>24</c:v>
                </c:pt>
                <c:pt idx="26">
                  <c:v>48</c:v>
                </c:pt>
                <c:pt idx="27">
                  <c:v>10</c:v>
                </c:pt>
                <c:pt idx="28">
                  <c:v>20</c:v>
                </c:pt>
                <c:pt idx="29">
                  <c:v>45</c:v>
                </c:pt>
              </c:numCache>
            </c:numRef>
          </c:val>
          <c:extLst>
            <c:ext xmlns:c16="http://schemas.microsoft.com/office/drawing/2014/chart" uri="{C3380CC4-5D6E-409C-BE32-E72D297353CC}">
              <c16:uniqueId val="{00000000-7389-4CE6-963C-E10B7AAB48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9398960"/>
        <c:axId val="839401120"/>
      </c:areaChart>
      <c:catAx>
        <c:axId val="8393989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9401120"/>
        <c:crosses val="autoZero"/>
        <c:auto val="1"/>
        <c:lblAlgn val="ctr"/>
        <c:lblOffset val="100"/>
        <c:noMultiLvlLbl val="0"/>
      </c:catAx>
      <c:valAx>
        <c:axId val="839401120"/>
        <c:scaling>
          <c:orientation val="minMax"/>
        </c:scaling>
        <c:delete val="1"/>
        <c:axPos val="l"/>
        <c:numFmt formatCode="0" sourceLinked="1"/>
        <c:majorTickMark val="out"/>
        <c:minorTickMark val="none"/>
        <c:tickLblPos val="nextTo"/>
        <c:crossAx val="83939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HHospital.xlsx]Tables!PivotTable5</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20240552455214E-2"/>
          <c:y val="0.13607186828919113"/>
          <c:w val="0.92316885159394502"/>
          <c:h val="0.56425841820966915"/>
        </c:manualLayout>
      </c:layout>
      <c:lineChart>
        <c:grouping val="standard"/>
        <c:varyColors val="0"/>
        <c:ser>
          <c:idx val="0"/>
          <c:order val="0"/>
          <c:tx>
            <c:strRef>
              <c:f>Tables!$E$13</c:f>
              <c:strCache>
                <c:ptCount val="1"/>
                <c:pt idx="0">
                  <c:v>Total</c:v>
                </c:pt>
              </c:strCache>
            </c:strRef>
          </c:tx>
          <c:spPr>
            <a:ln w="28575" cap="rnd">
              <a:solidFill>
                <a:schemeClr val="accent1"/>
              </a:solidFill>
              <a:round/>
            </a:ln>
            <a:effectLst/>
          </c:spPr>
          <c:marker>
            <c:symbol val="none"/>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Tables!$D$14:$D$45</c:f>
              <c:strCache>
                <c:ptCount val="31"/>
                <c:pt idx="0">
                  <c:v>01-08-2024</c:v>
                </c:pt>
                <c:pt idx="1">
                  <c:v>02-08-2024</c:v>
                </c:pt>
                <c:pt idx="2">
                  <c:v>03-08-2024</c:v>
                </c:pt>
                <c:pt idx="3">
                  <c:v>04-08-2024</c:v>
                </c:pt>
                <c:pt idx="4">
                  <c:v>05-08-2024</c:v>
                </c:pt>
                <c:pt idx="5">
                  <c:v>06-08-2024</c:v>
                </c:pt>
                <c:pt idx="6">
                  <c:v>07-08-2024</c:v>
                </c:pt>
                <c:pt idx="7">
                  <c:v>08-08-2024</c:v>
                </c:pt>
                <c:pt idx="8">
                  <c:v>09-08-2024</c:v>
                </c:pt>
                <c:pt idx="9">
                  <c:v>10-08-2024</c:v>
                </c:pt>
                <c:pt idx="10">
                  <c:v>11-08-2024</c:v>
                </c:pt>
                <c:pt idx="11">
                  <c:v>12-08-2024</c:v>
                </c:pt>
                <c:pt idx="12">
                  <c:v>13-08-2024</c:v>
                </c:pt>
                <c:pt idx="13">
                  <c:v>14-08-2024</c:v>
                </c:pt>
                <c:pt idx="14">
                  <c:v>15-08-2024</c:v>
                </c:pt>
                <c:pt idx="15">
                  <c:v>16-08-2024</c:v>
                </c:pt>
                <c:pt idx="16">
                  <c:v>17-08-2024</c:v>
                </c:pt>
                <c:pt idx="17">
                  <c:v>18-08-2024</c:v>
                </c:pt>
                <c:pt idx="18">
                  <c:v>19-08-2024</c:v>
                </c:pt>
                <c:pt idx="19">
                  <c:v>20-08-2024</c:v>
                </c:pt>
                <c:pt idx="20">
                  <c:v>21-08-2024</c:v>
                </c:pt>
                <c:pt idx="21">
                  <c:v>22-08-2024</c:v>
                </c:pt>
                <c:pt idx="22">
                  <c:v>23-08-2024</c:v>
                </c:pt>
                <c:pt idx="23">
                  <c:v>24-08-2024</c:v>
                </c:pt>
                <c:pt idx="24">
                  <c:v>25-08-2024</c:v>
                </c:pt>
                <c:pt idx="25">
                  <c:v>26-08-2024</c:v>
                </c:pt>
                <c:pt idx="26">
                  <c:v>27-08-2024</c:v>
                </c:pt>
                <c:pt idx="27">
                  <c:v>28-08-2024</c:v>
                </c:pt>
                <c:pt idx="28">
                  <c:v>29-08-2024</c:v>
                </c:pt>
                <c:pt idx="29">
                  <c:v>30-08-2024</c:v>
                </c:pt>
                <c:pt idx="30">
                  <c:v>31-08-2024</c:v>
                </c:pt>
              </c:strCache>
            </c:strRef>
          </c:cat>
          <c:val>
            <c:numRef>
              <c:f>Tables!$E$14:$E$45</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smooth val="0"/>
          <c:extLst>
            <c:ext xmlns:c16="http://schemas.microsoft.com/office/drawing/2014/chart" uri="{C3380CC4-5D6E-409C-BE32-E72D297353CC}">
              <c16:uniqueId val="{00000000-EB79-4C3A-99EA-AF50104659F8}"/>
            </c:ext>
          </c:extLst>
        </c:ser>
        <c:dLbls>
          <c:showLegendKey val="0"/>
          <c:showVal val="0"/>
          <c:showCatName val="0"/>
          <c:showSerName val="0"/>
          <c:showPercent val="0"/>
          <c:showBubbleSize val="0"/>
        </c:dLbls>
        <c:smooth val="0"/>
        <c:axId val="280502624"/>
        <c:axId val="280481024"/>
      </c:lineChart>
      <c:catAx>
        <c:axId val="280502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81024"/>
        <c:crosses val="autoZero"/>
        <c:auto val="1"/>
        <c:lblAlgn val="ctr"/>
        <c:lblOffset val="100"/>
        <c:noMultiLvlLbl val="0"/>
      </c:catAx>
      <c:valAx>
        <c:axId val="280481024"/>
        <c:scaling>
          <c:orientation val="minMax"/>
        </c:scaling>
        <c:delete val="1"/>
        <c:axPos val="l"/>
        <c:numFmt formatCode="General" sourceLinked="1"/>
        <c:majorTickMark val="out"/>
        <c:minorTickMark val="none"/>
        <c:tickLblPos val="nextTo"/>
        <c:crossAx val="2805026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[Project_ER HHospital.xlsx]Tables!PivotTable6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5.6990780564194182E-2"/>
          <c:y val="0.12501783705608227"/>
          <c:w val="0.91672412271995407"/>
          <c:h val="0.55244313210848639"/>
        </c:manualLayout>
      </c:layout>
      <c:areaChart>
        <c:grouping val="standard"/>
        <c:varyColors val="0"/>
        <c:ser>
          <c:idx val="0"/>
          <c:order val="0"/>
          <c:tx>
            <c:strRef>
              <c:f>Tables!$H$2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Tables!$G$3:$G$34</c:f>
              <c:strCache>
                <c:ptCount val="31"/>
                <c:pt idx="0">
                  <c:v>01-08-2024</c:v>
                </c:pt>
                <c:pt idx="1">
                  <c:v>02-08-2024</c:v>
                </c:pt>
                <c:pt idx="2">
                  <c:v>03-08-2024</c:v>
                </c:pt>
                <c:pt idx="3">
                  <c:v>04-08-2024</c:v>
                </c:pt>
                <c:pt idx="4">
                  <c:v>05-08-2024</c:v>
                </c:pt>
                <c:pt idx="5">
                  <c:v>06-08-2024</c:v>
                </c:pt>
                <c:pt idx="6">
                  <c:v>07-08-2024</c:v>
                </c:pt>
                <c:pt idx="7">
                  <c:v>08-08-2024</c:v>
                </c:pt>
                <c:pt idx="8">
                  <c:v>09-08-2024</c:v>
                </c:pt>
                <c:pt idx="9">
                  <c:v>10-08-2024</c:v>
                </c:pt>
                <c:pt idx="10">
                  <c:v>11-08-2024</c:v>
                </c:pt>
                <c:pt idx="11">
                  <c:v>12-08-2024</c:v>
                </c:pt>
                <c:pt idx="12">
                  <c:v>13-08-2024</c:v>
                </c:pt>
                <c:pt idx="13">
                  <c:v>14-08-2024</c:v>
                </c:pt>
                <c:pt idx="14">
                  <c:v>15-08-2024</c:v>
                </c:pt>
                <c:pt idx="15">
                  <c:v>16-08-2024</c:v>
                </c:pt>
                <c:pt idx="16">
                  <c:v>17-08-2024</c:v>
                </c:pt>
                <c:pt idx="17">
                  <c:v>18-08-2024</c:v>
                </c:pt>
                <c:pt idx="18">
                  <c:v>19-08-2024</c:v>
                </c:pt>
                <c:pt idx="19">
                  <c:v>20-08-2024</c:v>
                </c:pt>
                <c:pt idx="20">
                  <c:v>21-08-2024</c:v>
                </c:pt>
                <c:pt idx="21">
                  <c:v>22-08-2024</c:v>
                </c:pt>
                <c:pt idx="22">
                  <c:v>23-08-2024</c:v>
                </c:pt>
                <c:pt idx="23">
                  <c:v>24-08-2024</c:v>
                </c:pt>
                <c:pt idx="24">
                  <c:v>25-08-2024</c:v>
                </c:pt>
                <c:pt idx="25">
                  <c:v>26-08-2024</c:v>
                </c:pt>
                <c:pt idx="26">
                  <c:v>27-08-2024</c:v>
                </c:pt>
                <c:pt idx="27">
                  <c:v>28-08-2024</c:v>
                </c:pt>
                <c:pt idx="28">
                  <c:v>29-08-2024</c:v>
                </c:pt>
                <c:pt idx="29">
                  <c:v>30-08-2024</c:v>
                </c:pt>
                <c:pt idx="30">
                  <c:v>31-08-2024</c:v>
                </c:pt>
              </c:strCache>
            </c:strRef>
          </c:cat>
          <c:val>
            <c:numRef>
              <c:f>Tables!$H$3:$H$34</c:f>
              <c:numCache>
                <c:formatCode>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7BB6-400C-984F-91BDD5011E2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9734088"/>
        <c:axId val="599733728"/>
      </c:areaChart>
      <c:catAx>
        <c:axId val="5997340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9733728"/>
        <c:crosses val="autoZero"/>
        <c:auto val="1"/>
        <c:lblAlgn val="ctr"/>
        <c:lblOffset val="100"/>
        <c:noMultiLvlLbl val="0"/>
      </c:catAx>
      <c:valAx>
        <c:axId val="599733728"/>
        <c:scaling>
          <c:orientation val="minMax"/>
        </c:scaling>
        <c:delete val="1"/>
        <c:axPos val="l"/>
        <c:numFmt formatCode="0" sourceLinked="1"/>
        <c:majorTickMark val="out"/>
        <c:minorTickMark val="none"/>
        <c:tickLblPos val="nextTo"/>
        <c:crossAx val="599734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3.xml"/><Relationship Id="rId18" Type="http://schemas.openxmlformats.org/officeDocument/2006/relationships/hyperlink" Target="#Dashboard!A1"/><Relationship Id="rId3" Type="http://schemas.openxmlformats.org/officeDocument/2006/relationships/hyperlink" Target="#'Daily Patient Count Chart'!A1"/><Relationship Id="rId7" Type="http://schemas.openxmlformats.org/officeDocument/2006/relationships/image" Target="../media/image4.sv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Avg S.Score Chart'!A1"/><Relationship Id="rId15" Type="http://schemas.openxmlformats.org/officeDocument/2006/relationships/image" Target="../media/image9.emf"/><Relationship Id="rId10" Type="http://schemas.openxmlformats.org/officeDocument/2006/relationships/image" Target="../media/image7.png"/><Relationship Id="rId19" Type="http://schemas.openxmlformats.org/officeDocument/2006/relationships/chart" Target="../charts/chart7.xml"/><Relationship Id="rId4" Type="http://schemas.openxmlformats.org/officeDocument/2006/relationships/hyperlink" Target="#'Average Wait Time Chart'!A1"/><Relationship Id="rId9" Type="http://schemas.openxmlformats.org/officeDocument/2006/relationships/image" Target="../media/image6.svg"/><Relationship Id="rId1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15</xdr:col>
      <xdr:colOff>0</xdr:colOff>
      <xdr:row>11</xdr:row>
      <xdr:rowOff>31750</xdr:rowOff>
    </xdr:from>
    <xdr:to>
      <xdr:col>16</xdr:col>
      <xdr:colOff>0</xdr:colOff>
      <xdr:row>14</xdr:row>
      <xdr:rowOff>28574</xdr:rowOff>
    </xdr:to>
    <xdr:graphicFrame macro="">
      <xdr:nvGraphicFramePr>
        <xdr:cNvPr id="2" name="Chart 1">
          <a:extLst>
            <a:ext uri="{FF2B5EF4-FFF2-40B4-BE49-F238E27FC236}">
              <a16:creationId xmlns:a16="http://schemas.microsoft.com/office/drawing/2014/main" id="{C72CDC27-DBBE-A435-E91D-9F7A493AE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11</xdr:row>
      <xdr:rowOff>139700</xdr:rowOff>
    </xdr:from>
    <xdr:to>
      <xdr:col>5</xdr:col>
      <xdr:colOff>342900</xdr:colOff>
      <xdr:row>20</xdr:row>
      <xdr:rowOff>120650</xdr:rowOff>
    </xdr:to>
    <xdr:sp macro="" textlink="">
      <xdr:nvSpPr>
        <xdr:cNvPr id="14" name="Rectangle 13">
          <a:extLst>
            <a:ext uri="{FF2B5EF4-FFF2-40B4-BE49-F238E27FC236}">
              <a16:creationId xmlns:a16="http://schemas.microsoft.com/office/drawing/2014/main" id="{1D38443A-44EB-42C9-9852-81F1F42E9FF3}"/>
            </a:ext>
          </a:extLst>
        </xdr:cNvPr>
        <xdr:cNvSpPr/>
      </xdr:nvSpPr>
      <xdr:spPr>
        <a:xfrm>
          <a:off x="12700" y="2165350"/>
          <a:ext cx="3378200" cy="16383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336550</xdr:colOff>
      <xdr:row>16</xdr:row>
      <xdr:rowOff>50800</xdr:rowOff>
    </xdr:from>
    <xdr:to>
      <xdr:col>14</xdr:col>
      <xdr:colOff>419100</xdr:colOff>
      <xdr:row>20</xdr:row>
      <xdr:rowOff>95250</xdr:rowOff>
    </xdr:to>
    <xdr:sp macro="" textlink="">
      <xdr:nvSpPr>
        <xdr:cNvPr id="19" name="Rectangle 18">
          <a:extLst>
            <a:ext uri="{FF2B5EF4-FFF2-40B4-BE49-F238E27FC236}">
              <a16:creationId xmlns:a16="http://schemas.microsoft.com/office/drawing/2014/main" id="{A4D1FBEF-D785-4192-BAB6-FBB70832654C}"/>
            </a:ext>
          </a:extLst>
        </xdr:cNvPr>
        <xdr:cNvSpPr/>
      </xdr:nvSpPr>
      <xdr:spPr>
        <a:xfrm>
          <a:off x="5822950" y="2997200"/>
          <a:ext cx="3130550" cy="7810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603250</xdr:colOff>
      <xdr:row>0</xdr:row>
      <xdr:rowOff>19050</xdr:rowOff>
    </xdr:from>
    <xdr:to>
      <xdr:col>14</xdr:col>
      <xdr:colOff>444500</xdr:colOff>
      <xdr:row>3</xdr:row>
      <xdr:rowOff>88900</xdr:rowOff>
    </xdr:to>
    <xdr:sp macro="" textlink="">
      <xdr:nvSpPr>
        <xdr:cNvPr id="9" name="Rectangle 8">
          <a:extLst>
            <a:ext uri="{FF2B5EF4-FFF2-40B4-BE49-F238E27FC236}">
              <a16:creationId xmlns:a16="http://schemas.microsoft.com/office/drawing/2014/main" id="{29479CBA-DA66-C770-6905-9647EAA7CA09}"/>
            </a:ext>
          </a:extLst>
        </xdr:cNvPr>
        <xdr:cNvSpPr/>
      </xdr:nvSpPr>
      <xdr:spPr>
        <a:xfrm>
          <a:off x="7308850" y="19050"/>
          <a:ext cx="1670050" cy="622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0</xdr:row>
      <xdr:rowOff>6350</xdr:rowOff>
    </xdr:from>
    <xdr:to>
      <xdr:col>5</xdr:col>
      <xdr:colOff>190500</xdr:colOff>
      <xdr:row>3</xdr:row>
      <xdr:rowOff>101600</xdr:rowOff>
    </xdr:to>
    <xdr:sp macro="" textlink="">
      <xdr:nvSpPr>
        <xdr:cNvPr id="2" name="Rectangle 1">
          <a:extLst>
            <a:ext uri="{FF2B5EF4-FFF2-40B4-BE49-F238E27FC236}">
              <a16:creationId xmlns:a16="http://schemas.microsoft.com/office/drawing/2014/main" id="{D6FC9B6C-2EA6-044B-7E67-88F5C0C30282}"/>
            </a:ext>
          </a:extLst>
        </xdr:cNvPr>
        <xdr:cNvSpPr/>
      </xdr:nvSpPr>
      <xdr:spPr>
        <a:xfrm>
          <a:off x="25400" y="6350"/>
          <a:ext cx="3213100" cy="6477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1</xdr:col>
      <xdr:colOff>69850</xdr:colOff>
      <xdr:row>3</xdr:row>
      <xdr:rowOff>6350</xdr:rowOff>
    </xdr:to>
    <xdr:pic>
      <xdr:nvPicPr>
        <xdr:cNvPr id="4" name="Graphic 3" descr="Hospital">
          <a:extLst>
            <a:ext uri="{FF2B5EF4-FFF2-40B4-BE49-F238E27FC236}">
              <a16:creationId xmlns:a16="http://schemas.microsoft.com/office/drawing/2014/main" id="{921F9AA4-7545-A6FC-2E27-7C558E18D8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679450" cy="558800"/>
        </a:xfrm>
        <a:prstGeom prst="rect">
          <a:avLst/>
        </a:prstGeom>
      </xdr:spPr>
    </xdr:pic>
    <xdr:clientData/>
  </xdr:twoCellAnchor>
  <xdr:twoCellAnchor>
    <xdr:from>
      <xdr:col>0</xdr:col>
      <xdr:colOff>584200</xdr:colOff>
      <xdr:row>0</xdr:row>
      <xdr:rowOff>177800</xdr:rowOff>
    </xdr:from>
    <xdr:to>
      <xdr:col>5</xdr:col>
      <xdr:colOff>127000</xdr:colOff>
      <xdr:row>2</xdr:row>
      <xdr:rowOff>82550</xdr:rowOff>
    </xdr:to>
    <xdr:sp macro="" textlink="">
      <xdr:nvSpPr>
        <xdr:cNvPr id="5" name="TextBox 4">
          <a:extLst>
            <a:ext uri="{FF2B5EF4-FFF2-40B4-BE49-F238E27FC236}">
              <a16:creationId xmlns:a16="http://schemas.microsoft.com/office/drawing/2014/main" id="{361A8C45-AA62-1D6A-CC48-1CB29E0107F1}"/>
            </a:ext>
          </a:extLst>
        </xdr:cNvPr>
        <xdr:cNvSpPr txBox="1"/>
      </xdr:nvSpPr>
      <xdr:spPr>
        <a:xfrm>
          <a:off x="584200" y="177800"/>
          <a:ext cx="25908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lumMod val="85000"/>
                  <a:lumOff val="15000"/>
                </a:schemeClr>
              </a:solidFill>
            </a:rPr>
            <a:t>Hospital Emergency</a:t>
          </a:r>
          <a:r>
            <a:rPr lang="en-IN" sz="1200" b="1" baseline="0">
              <a:solidFill>
                <a:schemeClr val="tx1">
                  <a:lumMod val="85000"/>
                  <a:lumOff val="15000"/>
                </a:schemeClr>
              </a:solidFill>
            </a:rPr>
            <a:t> Room Dashboard</a:t>
          </a:r>
          <a:endParaRPr lang="en-IN" sz="1200" b="1">
            <a:solidFill>
              <a:schemeClr val="tx1">
                <a:lumMod val="85000"/>
                <a:lumOff val="15000"/>
              </a:schemeClr>
            </a:solidFill>
          </a:endParaRPr>
        </a:p>
      </xdr:txBody>
    </xdr:sp>
    <xdr:clientData/>
  </xdr:twoCellAnchor>
  <xdr:twoCellAnchor>
    <xdr:from>
      <xdr:col>5</xdr:col>
      <xdr:colOff>558800</xdr:colOff>
      <xdr:row>0</xdr:row>
      <xdr:rowOff>12700</xdr:rowOff>
    </xdr:from>
    <xdr:to>
      <xdr:col>11</xdr:col>
      <xdr:colOff>571500</xdr:colOff>
      <xdr:row>3</xdr:row>
      <xdr:rowOff>31750</xdr:rowOff>
    </xdr:to>
    <xdr:sp macro="" textlink="">
      <xdr:nvSpPr>
        <xdr:cNvPr id="6" name="Rectangle 5">
          <a:extLst>
            <a:ext uri="{FF2B5EF4-FFF2-40B4-BE49-F238E27FC236}">
              <a16:creationId xmlns:a16="http://schemas.microsoft.com/office/drawing/2014/main" id="{543DBB72-3A07-36B8-BC33-F4089CE3266B}"/>
            </a:ext>
          </a:extLst>
        </xdr:cNvPr>
        <xdr:cNvSpPr/>
      </xdr:nvSpPr>
      <xdr:spPr>
        <a:xfrm>
          <a:off x="3606800" y="12700"/>
          <a:ext cx="3670300" cy="5715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215895</xdr:colOff>
      <xdr:row>0</xdr:row>
      <xdr:rowOff>0</xdr:rowOff>
    </xdr:from>
    <xdr:to>
      <xdr:col>11</xdr:col>
      <xdr:colOff>577850</xdr:colOff>
      <xdr:row>3</xdr:row>
      <xdr:rowOff>95250</xdr:rowOff>
    </xdr:to>
    <mc:AlternateContent xmlns:mc="http://schemas.openxmlformats.org/markup-compatibility/2006" xmlns:a14="http://schemas.microsoft.com/office/drawing/2010/main">
      <mc:Choice Requires="a14">
        <xdr:graphicFrame macro="">
          <xdr:nvGraphicFramePr>
            <xdr:cNvPr id="7" name="Date (Month)">
              <a:extLst>
                <a:ext uri="{FF2B5EF4-FFF2-40B4-BE49-F238E27FC236}">
                  <a16:creationId xmlns:a16="http://schemas.microsoft.com/office/drawing/2014/main" id="{5461C91B-98B6-4FC9-8C99-664E4BA7502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263895" y="0"/>
              <a:ext cx="4019555"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603250</xdr:colOff>
      <xdr:row>0</xdr:row>
      <xdr:rowOff>6350</xdr:rowOff>
    </xdr:from>
    <xdr:to>
      <xdr:col>14</xdr:col>
      <xdr:colOff>444500</xdr:colOff>
      <xdr:row>3</xdr:row>
      <xdr:rowOff>101600</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0861E9A2-A8D9-4A21-BD35-5B5C5C788E7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308850" y="6350"/>
              <a:ext cx="167005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3</xdr:row>
      <xdr:rowOff>146050</xdr:rowOff>
    </xdr:from>
    <xdr:to>
      <xdr:col>2</xdr:col>
      <xdr:colOff>171450</xdr:colOff>
      <xdr:row>11</xdr:row>
      <xdr:rowOff>107950</xdr:rowOff>
    </xdr:to>
    <xdr:sp macro="" textlink="Tables!A3">
      <xdr:nvSpPr>
        <xdr:cNvPr id="10" name="Rectangle 9">
          <a:hlinkClick xmlns:r="http://schemas.openxmlformats.org/officeDocument/2006/relationships" r:id="rId3"/>
          <a:extLst>
            <a:ext uri="{FF2B5EF4-FFF2-40B4-BE49-F238E27FC236}">
              <a16:creationId xmlns:a16="http://schemas.microsoft.com/office/drawing/2014/main" id="{0C01A8A4-8305-DD7D-D199-5A892445C7A0}"/>
            </a:ext>
          </a:extLst>
        </xdr:cNvPr>
        <xdr:cNvSpPr/>
      </xdr:nvSpPr>
      <xdr:spPr>
        <a:xfrm>
          <a:off x="19050" y="698500"/>
          <a:ext cx="1371600" cy="14351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ADD7CC-0A93-417D-875F-3F32E3DEEB12}" type="TxLink">
            <a:rPr lang="en-US" sz="1800" b="1" i="0" u="none" strike="noStrike">
              <a:solidFill>
                <a:srgbClr val="000000"/>
              </a:solidFill>
              <a:latin typeface="Calibri"/>
              <a:ea typeface="Calibri"/>
              <a:cs typeface="Calibri"/>
            </a:rPr>
            <a:pPr algn="l"/>
            <a:t>530</a:t>
          </a:fld>
          <a:endParaRPr lang="en-US" sz="1800" b="1"/>
        </a:p>
      </xdr:txBody>
    </xdr:sp>
    <xdr:clientData/>
  </xdr:twoCellAnchor>
  <xdr:twoCellAnchor>
    <xdr:from>
      <xdr:col>2</xdr:col>
      <xdr:colOff>196850</xdr:colOff>
      <xdr:row>3</xdr:row>
      <xdr:rowOff>146050</xdr:rowOff>
    </xdr:from>
    <xdr:to>
      <xdr:col>4</xdr:col>
      <xdr:colOff>345650</xdr:colOff>
      <xdr:row>11</xdr:row>
      <xdr:rowOff>107950</xdr:rowOff>
    </xdr:to>
    <xdr:sp macro="" textlink="Tables!D3">
      <xdr:nvSpPr>
        <xdr:cNvPr id="11" name="Rectangle 10">
          <a:hlinkClick xmlns:r="http://schemas.openxmlformats.org/officeDocument/2006/relationships" r:id="rId4"/>
          <a:extLst>
            <a:ext uri="{FF2B5EF4-FFF2-40B4-BE49-F238E27FC236}">
              <a16:creationId xmlns:a16="http://schemas.microsoft.com/office/drawing/2014/main" id="{08F86A15-494C-46F6-AB81-4B9EDB03D5FB}"/>
            </a:ext>
          </a:extLst>
        </xdr:cNvPr>
        <xdr:cNvSpPr/>
      </xdr:nvSpPr>
      <xdr:spPr>
        <a:xfrm>
          <a:off x="1416050" y="698500"/>
          <a:ext cx="1368000" cy="14351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5C0BC1-72A8-4B52-8959-714E48C80898}" type="TxLink">
            <a:rPr lang="en-US" sz="1800" b="1" i="0" u="none" strike="noStrike">
              <a:solidFill>
                <a:srgbClr val="000000"/>
              </a:solidFill>
              <a:latin typeface="Calibri"/>
              <a:ea typeface="Calibri"/>
              <a:cs typeface="Calibri"/>
            </a:rPr>
            <a:pPr algn="l"/>
            <a:t>35</a:t>
          </a:fld>
          <a:endParaRPr lang="en-US" sz="1800" b="1"/>
        </a:p>
      </xdr:txBody>
    </xdr:sp>
    <xdr:clientData/>
  </xdr:twoCellAnchor>
  <xdr:twoCellAnchor>
    <xdr:from>
      <xdr:col>4</xdr:col>
      <xdr:colOff>355600</xdr:colOff>
      <xdr:row>3</xdr:row>
      <xdr:rowOff>139700</xdr:rowOff>
    </xdr:from>
    <xdr:to>
      <xdr:col>6</xdr:col>
      <xdr:colOff>504400</xdr:colOff>
      <xdr:row>11</xdr:row>
      <xdr:rowOff>101600</xdr:rowOff>
    </xdr:to>
    <xdr:sp macro="" textlink="Tables!A7">
      <xdr:nvSpPr>
        <xdr:cNvPr id="12" name="Rectangle 11">
          <a:hlinkClick xmlns:r="http://schemas.openxmlformats.org/officeDocument/2006/relationships" r:id="rId5"/>
          <a:extLst>
            <a:ext uri="{FF2B5EF4-FFF2-40B4-BE49-F238E27FC236}">
              <a16:creationId xmlns:a16="http://schemas.microsoft.com/office/drawing/2014/main" id="{345BBEE1-FB0D-4D3F-B8FD-892C09322A90}"/>
            </a:ext>
          </a:extLst>
        </xdr:cNvPr>
        <xdr:cNvSpPr/>
      </xdr:nvSpPr>
      <xdr:spPr>
        <a:xfrm>
          <a:off x="2794000" y="692150"/>
          <a:ext cx="1368000" cy="14351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CF48762-DB00-4798-937D-4C15D80BBBFF}" type="TxLink">
            <a:rPr lang="en-US" sz="1600" b="1" i="0" u="none" strike="noStrike">
              <a:solidFill>
                <a:srgbClr val="000000"/>
              </a:solidFill>
              <a:latin typeface="Calibri"/>
              <a:ea typeface="Calibri"/>
              <a:cs typeface="Calibri"/>
            </a:rPr>
            <a:pPr algn="l"/>
            <a:t>5.18</a:t>
          </a:fld>
          <a:endParaRPr lang="en-IN" sz="1600" b="1"/>
        </a:p>
      </xdr:txBody>
    </xdr:sp>
    <xdr:clientData/>
  </xdr:twoCellAnchor>
  <xdr:twoCellAnchor>
    <xdr:from>
      <xdr:col>9</xdr:col>
      <xdr:colOff>317500</xdr:colOff>
      <xdr:row>3</xdr:row>
      <xdr:rowOff>127000</xdr:rowOff>
    </xdr:from>
    <xdr:to>
      <xdr:col>14</xdr:col>
      <xdr:colOff>419100</xdr:colOff>
      <xdr:row>16</xdr:row>
      <xdr:rowOff>19050</xdr:rowOff>
    </xdr:to>
    <xdr:sp macro="" textlink="">
      <xdr:nvSpPr>
        <xdr:cNvPr id="13" name="Rectangle 12">
          <a:extLst>
            <a:ext uri="{FF2B5EF4-FFF2-40B4-BE49-F238E27FC236}">
              <a16:creationId xmlns:a16="http://schemas.microsoft.com/office/drawing/2014/main" id="{ED8BB4C6-0395-4671-B38E-AFB304F6483D}"/>
            </a:ext>
          </a:extLst>
        </xdr:cNvPr>
        <xdr:cNvSpPr/>
      </xdr:nvSpPr>
      <xdr:spPr>
        <a:xfrm>
          <a:off x="5803900" y="679450"/>
          <a:ext cx="3149600" cy="2286000"/>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387350</xdr:colOff>
      <xdr:row>11</xdr:row>
      <xdr:rowOff>139700</xdr:rowOff>
    </xdr:from>
    <xdr:to>
      <xdr:col>9</xdr:col>
      <xdr:colOff>260350</xdr:colOff>
      <xdr:row>20</xdr:row>
      <xdr:rowOff>114300</xdr:rowOff>
    </xdr:to>
    <xdr:sp macro="" textlink="">
      <xdr:nvSpPr>
        <xdr:cNvPr id="15" name="Rectangle 14">
          <a:extLst>
            <a:ext uri="{FF2B5EF4-FFF2-40B4-BE49-F238E27FC236}">
              <a16:creationId xmlns:a16="http://schemas.microsoft.com/office/drawing/2014/main" id="{495BE74E-69BB-4288-8359-097E429C2A21}"/>
            </a:ext>
          </a:extLst>
        </xdr:cNvPr>
        <xdr:cNvSpPr/>
      </xdr:nvSpPr>
      <xdr:spPr>
        <a:xfrm>
          <a:off x="3435350" y="2165350"/>
          <a:ext cx="2311400" cy="1631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387350</xdr:colOff>
      <xdr:row>11</xdr:row>
      <xdr:rowOff>139700</xdr:rowOff>
    </xdr:from>
    <xdr:to>
      <xdr:col>9</xdr:col>
      <xdr:colOff>273050</xdr:colOff>
      <xdr:row>20</xdr:row>
      <xdr:rowOff>107950</xdr:rowOff>
    </xdr:to>
    <xdr:sp macro="" textlink="">
      <xdr:nvSpPr>
        <xdr:cNvPr id="18" name="Rectangle 17">
          <a:extLst>
            <a:ext uri="{FF2B5EF4-FFF2-40B4-BE49-F238E27FC236}">
              <a16:creationId xmlns:a16="http://schemas.microsoft.com/office/drawing/2014/main" id="{545FD56C-4E59-42B4-A811-D923438F94DF}"/>
            </a:ext>
          </a:extLst>
        </xdr:cNvPr>
        <xdr:cNvSpPr/>
      </xdr:nvSpPr>
      <xdr:spPr>
        <a:xfrm>
          <a:off x="3435350" y="2165350"/>
          <a:ext cx="2324100" cy="16256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533400</xdr:colOff>
      <xdr:row>3</xdr:row>
      <xdr:rowOff>127000</xdr:rowOff>
    </xdr:from>
    <xdr:to>
      <xdr:col>9</xdr:col>
      <xdr:colOff>266700</xdr:colOff>
      <xdr:row>11</xdr:row>
      <xdr:rowOff>101600</xdr:rowOff>
    </xdr:to>
    <xdr:sp macro="" textlink="">
      <xdr:nvSpPr>
        <xdr:cNvPr id="20" name="Rectangle 19">
          <a:extLst>
            <a:ext uri="{FF2B5EF4-FFF2-40B4-BE49-F238E27FC236}">
              <a16:creationId xmlns:a16="http://schemas.microsoft.com/office/drawing/2014/main" id="{7203E919-C44A-4142-A0E2-A3F53ED06255}"/>
            </a:ext>
          </a:extLst>
        </xdr:cNvPr>
        <xdr:cNvSpPr/>
      </xdr:nvSpPr>
      <xdr:spPr>
        <a:xfrm>
          <a:off x="4191000" y="679450"/>
          <a:ext cx="1562100" cy="14478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6350</xdr:colOff>
      <xdr:row>4</xdr:row>
      <xdr:rowOff>25400</xdr:rowOff>
    </xdr:from>
    <xdr:to>
      <xdr:col>1</xdr:col>
      <xdr:colOff>527050</xdr:colOff>
      <xdr:row>6</xdr:row>
      <xdr:rowOff>88900</xdr:rowOff>
    </xdr:to>
    <xdr:pic>
      <xdr:nvPicPr>
        <xdr:cNvPr id="22" name="Graphic 21" descr="Group of men">
          <a:extLst>
            <a:ext uri="{FF2B5EF4-FFF2-40B4-BE49-F238E27FC236}">
              <a16:creationId xmlns:a16="http://schemas.microsoft.com/office/drawing/2014/main" id="{60CC9C3D-C2FB-C112-0FC2-D1B72019F96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5950" y="762000"/>
          <a:ext cx="520700" cy="431800"/>
        </a:xfrm>
        <a:prstGeom prst="rect">
          <a:avLst/>
        </a:prstGeom>
      </xdr:spPr>
    </xdr:pic>
    <xdr:clientData/>
  </xdr:twoCellAnchor>
  <xdr:twoCellAnchor>
    <xdr:from>
      <xdr:col>0</xdr:col>
      <xdr:colOff>152400</xdr:colOff>
      <xdr:row>7</xdr:row>
      <xdr:rowOff>69850</xdr:rowOff>
    </xdr:from>
    <xdr:to>
      <xdr:col>2</xdr:col>
      <xdr:colOff>95250</xdr:colOff>
      <xdr:row>8</xdr:row>
      <xdr:rowOff>171450</xdr:rowOff>
    </xdr:to>
    <xdr:sp macro="" textlink="">
      <xdr:nvSpPr>
        <xdr:cNvPr id="23" name="TextBox 22">
          <a:extLst>
            <a:ext uri="{FF2B5EF4-FFF2-40B4-BE49-F238E27FC236}">
              <a16:creationId xmlns:a16="http://schemas.microsoft.com/office/drawing/2014/main" id="{D716E9EC-84D4-70FF-86F2-190A412EAF26}"/>
            </a:ext>
          </a:extLst>
        </xdr:cNvPr>
        <xdr:cNvSpPr txBox="1"/>
      </xdr:nvSpPr>
      <xdr:spPr>
        <a:xfrm>
          <a:off x="152400" y="1358900"/>
          <a:ext cx="1162050" cy="28575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Patients</a:t>
          </a:r>
          <a:endParaRPr lang="en-IN" sz="1100" b="1"/>
        </a:p>
      </xdr:txBody>
    </xdr:sp>
    <xdr:clientData/>
  </xdr:twoCellAnchor>
  <xdr:twoCellAnchor>
    <xdr:from>
      <xdr:col>2</xdr:col>
      <xdr:colOff>209550</xdr:colOff>
      <xdr:row>7</xdr:row>
      <xdr:rowOff>69850</xdr:rowOff>
    </xdr:from>
    <xdr:to>
      <xdr:col>4</xdr:col>
      <xdr:colOff>330200</xdr:colOff>
      <xdr:row>8</xdr:row>
      <xdr:rowOff>101600</xdr:rowOff>
    </xdr:to>
    <xdr:sp macro="" textlink="">
      <xdr:nvSpPr>
        <xdr:cNvPr id="24" name="TextBox 23">
          <a:extLst>
            <a:ext uri="{FF2B5EF4-FFF2-40B4-BE49-F238E27FC236}">
              <a16:creationId xmlns:a16="http://schemas.microsoft.com/office/drawing/2014/main" id="{63606151-770C-73EC-A8EF-B3E55FABB10C}"/>
            </a:ext>
          </a:extLst>
        </xdr:cNvPr>
        <xdr:cNvSpPr txBox="1"/>
      </xdr:nvSpPr>
      <xdr:spPr>
        <a:xfrm>
          <a:off x="1428750" y="1358900"/>
          <a:ext cx="1339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Wait Time</a:t>
          </a:r>
        </a:p>
      </xdr:txBody>
    </xdr:sp>
    <xdr:clientData/>
  </xdr:twoCellAnchor>
  <xdr:twoCellAnchor editAs="oneCell">
    <xdr:from>
      <xdr:col>3</xdr:col>
      <xdr:colOff>298450</xdr:colOff>
      <xdr:row>3</xdr:row>
      <xdr:rowOff>146050</xdr:rowOff>
    </xdr:from>
    <xdr:to>
      <xdr:col>4</xdr:col>
      <xdr:colOff>292100</xdr:colOff>
      <xdr:row>7</xdr:row>
      <xdr:rowOff>12700</xdr:rowOff>
    </xdr:to>
    <xdr:pic>
      <xdr:nvPicPr>
        <xdr:cNvPr id="26" name="Graphic 25" descr="Hourglass">
          <a:extLst>
            <a:ext uri="{FF2B5EF4-FFF2-40B4-BE49-F238E27FC236}">
              <a16:creationId xmlns:a16="http://schemas.microsoft.com/office/drawing/2014/main" id="{E96F6792-0D6F-8662-DA79-CDB4114E118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27250" y="698500"/>
          <a:ext cx="603250" cy="603250"/>
        </a:xfrm>
        <a:prstGeom prst="rect">
          <a:avLst/>
        </a:prstGeom>
      </xdr:spPr>
    </xdr:pic>
    <xdr:clientData/>
  </xdr:twoCellAnchor>
  <xdr:twoCellAnchor>
    <xdr:from>
      <xdr:col>4</xdr:col>
      <xdr:colOff>355600</xdr:colOff>
      <xdr:row>6</xdr:row>
      <xdr:rowOff>127000</xdr:rowOff>
    </xdr:from>
    <xdr:to>
      <xdr:col>6</xdr:col>
      <xdr:colOff>501650</xdr:colOff>
      <xdr:row>9</xdr:row>
      <xdr:rowOff>12700</xdr:rowOff>
    </xdr:to>
    <xdr:sp macro="" textlink="">
      <xdr:nvSpPr>
        <xdr:cNvPr id="27" name="TextBox 26">
          <a:extLst>
            <a:ext uri="{FF2B5EF4-FFF2-40B4-BE49-F238E27FC236}">
              <a16:creationId xmlns:a16="http://schemas.microsoft.com/office/drawing/2014/main" id="{600A5163-BCBF-556B-0389-80B0B547989E}"/>
            </a:ext>
          </a:extLst>
        </xdr:cNvPr>
        <xdr:cNvSpPr txBox="1"/>
      </xdr:nvSpPr>
      <xdr:spPr>
        <a:xfrm>
          <a:off x="2794000" y="1231900"/>
          <a:ext cx="1365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 Satisfaction</a:t>
          </a:r>
          <a:r>
            <a:rPr lang="en-IN" sz="1100" b="1" baseline="0"/>
            <a:t> Score</a:t>
          </a:r>
          <a:endParaRPr lang="en-IN" sz="1100" b="1"/>
        </a:p>
      </xdr:txBody>
    </xdr:sp>
    <xdr:clientData/>
  </xdr:twoCellAnchor>
  <xdr:twoCellAnchor editAs="oneCell">
    <xdr:from>
      <xdr:col>5</xdr:col>
      <xdr:colOff>482600</xdr:colOff>
      <xdr:row>3</xdr:row>
      <xdr:rowOff>177800</xdr:rowOff>
    </xdr:from>
    <xdr:to>
      <xdr:col>6</xdr:col>
      <xdr:colOff>457200</xdr:colOff>
      <xdr:row>7</xdr:row>
      <xdr:rowOff>50800</xdr:rowOff>
    </xdr:to>
    <xdr:pic>
      <xdr:nvPicPr>
        <xdr:cNvPr id="29" name="Graphic 28" descr="Checklist">
          <a:extLst>
            <a:ext uri="{FF2B5EF4-FFF2-40B4-BE49-F238E27FC236}">
              <a16:creationId xmlns:a16="http://schemas.microsoft.com/office/drawing/2014/main" id="{D1144421-21E7-301F-C6FF-E2C7C2D52D2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530600" y="730250"/>
          <a:ext cx="584200" cy="609600"/>
        </a:xfrm>
        <a:prstGeom prst="rect">
          <a:avLst/>
        </a:prstGeom>
      </xdr:spPr>
    </xdr:pic>
    <xdr:clientData/>
  </xdr:twoCellAnchor>
  <xdr:twoCellAnchor>
    <xdr:from>
      <xdr:col>0</xdr:col>
      <xdr:colOff>38100</xdr:colOff>
      <xdr:row>9</xdr:row>
      <xdr:rowOff>6350</xdr:rowOff>
    </xdr:from>
    <xdr:to>
      <xdr:col>2</xdr:col>
      <xdr:colOff>139700</xdr:colOff>
      <xdr:row>11</xdr:row>
      <xdr:rowOff>88900</xdr:rowOff>
    </xdr:to>
    <xdr:graphicFrame macro="">
      <xdr:nvGraphicFramePr>
        <xdr:cNvPr id="30" name="Chart 29">
          <a:extLst>
            <a:ext uri="{FF2B5EF4-FFF2-40B4-BE49-F238E27FC236}">
              <a16:creationId xmlns:a16="http://schemas.microsoft.com/office/drawing/2014/main" id="{EE732C97-D930-4793-85CC-CE55B5AC6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215900</xdr:colOff>
      <xdr:row>8</xdr:row>
      <xdr:rowOff>38100</xdr:rowOff>
    </xdr:from>
    <xdr:to>
      <xdr:col>4</xdr:col>
      <xdr:colOff>361950</xdr:colOff>
      <xdr:row>11</xdr:row>
      <xdr:rowOff>69850</xdr:rowOff>
    </xdr:to>
    <xdr:graphicFrame macro="">
      <xdr:nvGraphicFramePr>
        <xdr:cNvPr id="32" name="Chart 31">
          <a:extLst>
            <a:ext uri="{FF2B5EF4-FFF2-40B4-BE49-F238E27FC236}">
              <a16:creationId xmlns:a16="http://schemas.microsoft.com/office/drawing/2014/main" id="{14672D79-982A-4005-A479-FEA0B344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374650</xdr:colOff>
      <xdr:row>8</xdr:row>
      <xdr:rowOff>31750</xdr:rowOff>
    </xdr:from>
    <xdr:to>
      <xdr:col>6</xdr:col>
      <xdr:colOff>469900</xdr:colOff>
      <xdr:row>11</xdr:row>
      <xdr:rowOff>63500</xdr:rowOff>
    </xdr:to>
    <xdr:graphicFrame macro="">
      <xdr:nvGraphicFramePr>
        <xdr:cNvPr id="33" name="Chart 32">
          <a:extLst>
            <a:ext uri="{FF2B5EF4-FFF2-40B4-BE49-F238E27FC236}">
              <a16:creationId xmlns:a16="http://schemas.microsoft.com/office/drawing/2014/main" id="{64DD9A79-E35E-4310-BD8A-B7DBDAF51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349250</xdr:colOff>
          <xdr:row>16</xdr:row>
          <xdr:rowOff>69850</xdr:rowOff>
        </xdr:from>
        <xdr:to>
          <xdr:col>14</xdr:col>
          <xdr:colOff>393700</xdr:colOff>
          <xdr:row>20</xdr:row>
          <xdr:rowOff>69850</xdr:rowOff>
        </xdr:to>
        <xdr:pic>
          <xdr:nvPicPr>
            <xdr:cNvPr id="42" name="Picture 41">
              <a:extLst>
                <a:ext uri="{FF2B5EF4-FFF2-40B4-BE49-F238E27FC236}">
                  <a16:creationId xmlns:a16="http://schemas.microsoft.com/office/drawing/2014/main" id="{6938F97F-E580-5B19-123E-FD0C8DEB787E}"/>
                </a:ext>
              </a:extLst>
            </xdr:cNvPr>
            <xdr:cNvPicPr>
              <a:picLocks noChangeAspect="1" noChangeArrowheads="1"/>
              <a:extLst>
                <a:ext uri="{84589F7E-364E-4C9E-8A38-B11213B215E9}">
                  <a14:cameraTool cellRange="Tables!$M$12:$P$14" spid="_x0000_s3089"/>
                </a:ext>
              </a:extLst>
            </xdr:cNvPicPr>
          </xdr:nvPicPr>
          <xdr:blipFill>
            <a:blip xmlns:r="http://schemas.openxmlformats.org/officeDocument/2006/relationships" r:embed="rId15"/>
            <a:srcRect/>
            <a:stretch>
              <a:fillRect/>
            </a:stretch>
          </xdr:blipFill>
          <xdr:spPr bwMode="auto">
            <a:xfrm>
              <a:off x="5835650" y="3016250"/>
              <a:ext cx="3092450" cy="736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406400</xdr:colOff>
      <xdr:row>11</xdr:row>
      <xdr:rowOff>133350</xdr:rowOff>
    </xdr:from>
    <xdr:to>
      <xdr:col>9</xdr:col>
      <xdr:colOff>234950</xdr:colOff>
      <xdr:row>20</xdr:row>
      <xdr:rowOff>76200</xdr:rowOff>
    </xdr:to>
    <xdr:graphicFrame macro="">
      <xdr:nvGraphicFramePr>
        <xdr:cNvPr id="43" name="Chart 42">
          <a:extLst>
            <a:ext uri="{FF2B5EF4-FFF2-40B4-BE49-F238E27FC236}">
              <a16:creationId xmlns:a16="http://schemas.microsoft.com/office/drawing/2014/main" id="{940E6AE7-B40E-4480-A6CD-CEA4ACE2F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298450</xdr:colOff>
      <xdr:row>3</xdr:row>
      <xdr:rowOff>114300</xdr:rowOff>
    </xdr:from>
    <xdr:to>
      <xdr:col>14</xdr:col>
      <xdr:colOff>374650</xdr:colOff>
      <xdr:row>14</xdr:row>
      <xdr:rowOff>50800</xdr:rowOff>
    </xdr:to>
    <xdr:graphicFrame macro="">
      <xdr:nvGraphicFramePr>
        <xdr:cNvPr id="44" name="Chart 43">
          <a:extLst>
            <a:ext uri="{FF2B5EF4-FFF2-40B4-BE49-F238E27FC236}">
              <a16:creationId xmlns:a16="http://schemas.microsoft.com/office/drawing/2014/main" id="{931A3870-74B9-478F-9CEE-998BF5A19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12700</xdr:colOff>
      <xdr:row>11</xdr:row>
      <xdr:rowOff>139700</xdr:rowOff>
    </xdr:from>
    <xdr:to>
      <xdr:col>5</xdr:col>
      <xdr:colOff>323850</xdr:colOff>
      <xdr:row>20</xdr:row>
      <xdr:rowOff>107950</xdr:rowOff>
    </xdr:to>
    <xdr:graphicFrame macro="">
      <xdr:nvGraphicFramePr>
        <xdr:cNvPr id="46" name="Chart 45">
          <a:hlinkClick xmlns:r="http://schemas.openxmlformats.org/officeDocument/2006/relationships" r:id="rId18"/>
          <a:extLst>
            <a:ext uri="{FF2B5EF4-FFF2-40B4-BE49-F238E27FC236}">
              <a16:creationId xmlns:a16="http://schemas.microsoft.com/office/drawing/2014/main" id="{B3E0FB21-2488-44B2-8910-01F1FC7E1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317500</xdr:colOff>
      <xdr:row>14</xdr:row>
      <xdr:rowOff>107950</xdr:rowOff>
    </xdr:from>
    <xdr:to>
      <xdr:col>14</xdr:col>
      <xdr:colOff>279400</xdr:colOff>
      <xdr:row>15</xdr:row>
      <xdr:rowOff>165100</xdr:rowOff>
    </xdr:to>
    <xdr:sp macro="" textlink="">
      <xdr:nvSpPr>
        <xdr:cNvPr id="47" name="TextBox 46">
          <a:extLst>
            <a:ext uri="{FF2B5EF4-FFF2-40B4-BE49-F238E27FC236}">
              <a16:creationId xmlns:a16="http://schemas.microsoft.com/office/drawing/2014/main" id="{785F1022-D75E-FBB5-1276-0F75F285BF2D}"/>
            </a:ext>
          </a:extLst>
        </xdr:cNvPr>
        <xdr:cNvSpPr txBox="1"/>
      </xdr:nvSpPr>
      <xdr:spPr>
        <a:xfrm>
          <a:off x="6413500" y="2686050"/>
          <a:ext cx="24003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 of Patients by Dept.</a:t>
          </a:r>
          <a:r>
            <a:rPr lang="en-IN" sz="1100" b="1" baseline="0"/>
            <a:t> Referral</a:t>
          </a:r>
          <a:endParaRPr lang="en-IN" sz="1100" b="1"/>
        </a:p>
      </xdr:txBody>
    </xdr:sp>
    <xdr:clientData/>
  </xdr:twoCellAnchor>
  <xdr:twoCellAnchor>
    <xdr:from>
      <xdr:col>8</xdr:col>
      <xdr:colOff>139700</xdr:colOff>
      <xdr:row>17</xdr:row>
      <xdr:rowOff>127000</xdr:rowOff>
    </xdr:from>
    <xdr:to>
      <xdr:col>9</xdr:col>
      <xdr:colOff>222250</xdr:colOff>
      <xdr:row>20</xdr:row>
      <xdr:rowOff>19050</xdr:rowOff>
    </xdr:to>
    <xdr:sp macro="" textlink="">
      <xdr:nvSpPr>
        <xdr:cNvPr id="48" name="TextBox 47">
          <a:extLst>
            <a:ext uri="{FF2B5EF4-FFF2-40B4-BE49-F238E27FC236}">
              <a16:creationId xmlns:a16="http://schemas.microsoft.com/office/drawing/2014/main" id="{D515E08E-F39D-6BC1-55F0-47C0F24ACA42}"/>
            </a:ext>
          </a:extLst>
        </xdr:cNvPr>
        <xdr:cNvSpPr txBox="1"/>
      </xdr:nvSpPr>
      <xdr:spPr>
        <a:xfrm>
          <a:off x="5016500" y="3257550"/>
          <a:ext cx="6921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Gender Analysis</a:t>
          </a:r>
        </a:p>
      </xdr:txBody>
    </xdr:sp>
    <xdr:clientData/>
  </xdr:twoCellAnchor>
  <xdr:twoCellAnchor>
    <xdr:from>
      <xdr:col>1</xdr:col>
      <xdr:colOff>95250</xdr:colOff>
      <xdr:row>19</xdr:row>
      <xdr:rowOff>88900</xdr:rowOff>
    </xdr:from>
    <xdr:to>
      <xdr:col>4</xdr:col>
      <xdr:colOff>317500</xdr:colOff>
      <xdr:row>20</xdr:row>
      <xdr:rowOff>88900</xdr:rowOff>
    </xdr:to>
    <xdr:sp macro="" textlink="">
      <xdr:nvSpPr>
        <xdr:cNvPr id="49" name="TextBox 48">
          <a:extLst>
            <a:ext uri="{FF2B5EF4-FFF2-40B4-BE49-F238E27FC236}">
              <a16:creationId xmlns:a16="http://schemas.microsoft.com/office/drawing/2014/main" id="{5B2F9749-2EBA-EC89-385D-D9563F93D054}"/>
            </a:ext>
          </a:extLst>
        </xdr:cNvPr>
        <xdr:cNvSpPr txBox="1"/>
      </xdr:nvSpPr>
      <xdr:spPr>
        <a:xfrm>
          <a:off x="704850" y="3587750"/>
          <a:ext cx="20510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Age Distribution</a:t>
          </a:r>
        </a:p>
      </xdr:txBody>
    </xdr:sp>
    <xdr:clientData/>
  </xdr:twoCellAnchor>
  <xdr:twoCellAnchor>
    <xdr:from>
      <xdr:col>6</xdr:col>
      <xdr:colOff>558800</xdr:colOff>
      <xdr:row>3</xdr:row>
      <xdr:rowOff>127000</xdr:rowOff>
    </xdr:from>
    <xdr:to>
      <xdr:col>9</xdr:col>
      <xdr:colOff>241300</xdr:colOff>
      <xdr:row>11</xdr:row>
      <xdr:rowOff>88900</xdr:rowOff>
    </xdr:to>
    <xdr:graphicFrame macro="">
      <xdr:nvGraphicFramePr>
        <xdr:cNvPr id="50" name="Chart 49">
          <a:extLst>
            <a:ext uri="{FF2B5EF4-FFF2-40B4-BE49-F238E27FC236}">
              <a16:creationId xmlns:a16="http://schemas.microsoft.com/office/drawing/2014/main" id="{99014907-A524-4291-8477-B243AA48A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482600</xdr:colOff>
      <xdr:row>4</xdr:row>
      <xdr:rowOff>0</xdr:rowOff>
    </xdr:from>
    <xdr:to>
      <xdr:col>3</xdr:col>
      <xdr:colOff>425450</xdr:colOff>
      <xdr:row>5</xdr:row>
      <xdr:rowOff>152400</xdr:rowOff>
    </xdr:to>
    <xdr:sp macro="" textlink="">
      <xdr:nvSpPr>
        <xdr:cNvPr id="51" name="TextBox 50">
          <a:extLst>
            <a:ext uri="{FF2B5EF4-FFF2-40B4-BE49-F238E27FC236}">
              <a16:creationId xmlns:a16="http://schemas.microsoft.com/office/drawing/2014/main" id="{D5EA7A68-3410-78C0-5887-8048855FA6C5}"/>
            </a:ext>
          </a:extLst>
        </xdr:cNvPr>
        <xdr:cNvSpPr txBox="1"/>
      </xdr:nvSpPr>
      <xdr:spPr>
        <a:xfrm>
          <a:off x="1701800" y="736600"/>
          <a:ext cx="552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Min</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0.56303</cdr:x>
      <cdr:y>0.69027</cdr:y>
    </cdr:from>
    <cdr:to>
      <cdr:x>1</cdr:x>
      <cdr:y>1</cdr:y>
    </cdr:to>
    <cdr:sp macro="" textlink="">
      <cdr:nvSpPr>
        <cdr:cNvPr id="2" name="TextBox 1">
          <a:extLst xmlns:a="http://schemas.openxmlformats.org/drawingml/2006/main">
            <a:ext uri="{FF2B5EF4-FFF2-40B4-BE49-F238E27FC236}">
              <a16:creationId xmlns:a16="http://schemas.microsoft.com/office/drawing/2014/main" id="{6A0E1ED3-C4C8-C37D-5361-42A8186D0986}"/>
            </a:ext>
          </a:extLst>
        </cdr:cNvPr>
        <cdr:cNvSpPr txBox="1"/>
      </cdr:nvSpPr>
      <cdr:spPr>
        <a:xfrm xmlns:a="http://schemas.openxmlformats.org/drawingml/2006/main">
          <a:off x="850900" y="990600"/>
          <a:ext cx="660400" cy="444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0.42017</cdr:x>
      <cdr:y>0.73894</cdr:y>
    </cdr:from>
    <cdr:to>
      <cdr:x>0.97899</cdr:x>
      <cdr:y>1</cdr:y>
    </cdr:to>
    <cdr:sp macro="" textlink="">
      <cdr:nvSpPr>
        <cdr:cNvPr id="3" name="TextBox 2">
          <a:extLst xmlns:a="http://schemas.openxmlformats.org/drawingml/2006/main">
            <a:ext uri="{FF2B5EF4-FFF2-40B4-BE49-F238E27FC236}">
              <a16:creationId xmlns:a16="http://schemas.microsoft.com/office/drawing/2014/main" id="{03E3ACCA-2D0D-91F3-C3FE-72D99F1E6C4B}"/>
            </a:ext>
          </a:extLst>
        </cdr:cNvPr>
        <cdr:cNvSpPr txBox="1"/>
      </cdr:nvSpPr>
      <cdr:spPr>
        <a:xfrm xmlns:a="http://schemas.openxmlformats.org/drawingml/2006/main">
          <a:off x="635000" y="1060450"/>
          <a:ext cx="844550" cy="374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b="1" kern="1200"/>
            <a:t>Attendance</a:t>
          </a:r>
          <a:r>
            <a:rPr lang="en-IN" sz="900" kern="1200"/>
            <a:t> </a:t>
          </a:r>
          <a:r>
            <a:rPr lang="en-IN" sz="900" b="1" kern="1200"/>
            <a:t>Status</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342900</xdr:colOff>
      <xdr:row>3</xdr:row>
      <xdr:rowOff>152400</xdr:rowOff>
    </xdr:from>
    <xdr:to>
      <xdr:col>18</xdr:col>
      <xdr:colOff>196850</xdr:colOff>
      <xdr:row>18</xdr:row>
      <xdr:rowOff>133350</xdr:rowOff>
    </xdr:to>
    <xdr:graphicFrame macro="">
      <xdr:nvGraphicFramePr>
        <xdr:cNvPr id="2" name="Chart 1">
          <a:extLst>
            <a:ext uri="{FF2B5EF4-FFF2-40B4-BE49-F238E27FC236}">
              <a16:creationId xmlns:a16="http://schemas.microsoft.com/office/drawing/2014/main" id="{002B38B3-089C-4C06-B83B-303CD4125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19050</xdr:rowOff>
    </xdr:from>
    <xdr:to>
      <xdr:col>1</xdr:col>
      <xdr:colOff>209550</xdr:colOff>
      <xdr:row>3</xdr:row>
      <xdr:rowOff>63500</xdr:rowOff>
    </xdr:to>
    <xdr:pic>
      <xdr:nvPicPr>
        <xdr:cNvPr id="4" name="Graphic 3" descr="Home">
          <a:hlinkClick xmlns:r="http://schemas.openxmlformats.org/officeDocument/2006/relationships" r:id="rId2"/>
          <a:extLst>
            <a:ext uri="{FF2B5EF4-FFF2-40B4-BE49-F238E27FC236}">
              <a16:creationId xmlns:a16="http://schemas.microsoft.com/office/drawing/2014/main" id="{A774B800-26DD-5BAA-F4CE-B4A5587733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19050"/>
          <a:ext cx="742950" cy="596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558800</xdr:colOff>
      <xdr:row>2</xdr:row>
      <xdr:rowOff>6350</xdr:rowOff>
    </xdr:from>
    <xdr:to>
      <xdr:col>18</xdr:col>
      <xdr:colOff>146050</xdr:colOff>
      <xdr:row>21</xdr:row>
      <xdr:rowOff>0</xdr:rowOff>
    </xdr:to>
    <xdr:graphicFrame macro="">
      <xdr:nvGraphicFramePr>
        <xdr:cNvPr id="2" name="Chart 1">
          <a:extLst>
            <a:ext uri="{FF2B5EF4-FFF2-40B4-BE49-F238E27FC236}">
              <a16:creationId xmlns:a16="http://schemas.microsoft.com/office/drawing/2014/main" id="{F8B16E36-A28C-4F09-9874-9902E9073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101600</xdr:rowOff>
    </xdr:from>
    <xdr:to>
      <xdr:col>1</xdr:col>
      <xdr:colOff>57150</xdr:colOff>
      <xdr:row>4</xdr:row>
      <xdr:rowOff>12700</xdr:rowOff>
    </xdr:to>
    <xdr:pic>
      <xdr:nvPicPr>
        <xdr:cNvPr id="4" name="Graphic 3" descr="Home">
          <a:hlinkClick xmlns:r="http://schemas.openxmlformats.org/officeDocument/2006/relationships" r:id="rId2"/>
          <a:extLst>
            <a:ext uri="{FF2B5EF4-FFF2-40B4-BE49-F238E27FC236}">
              <a16:creationId xmlns:a16="http://schemas.microsoft.com/office/drawing/2014/main" id="{8B81703E-1EF3-945B-E661-D0E4ACE5065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01600"/>
          <a:ext cx="666750"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82550</xdr:rowOff>
    </xdr:from>
    <xdr:to>
      <xdr:col>18</xdr:col>
      <xdr:colOff>215900</xdr:colOff>
      <xdr:row>20</xdr:row>
      <xdr:rowOff>63500</xdr:rowOff>
    </xdr:to>
    <xdr:graphicFrame macro="">
      <xdr:nvGraphicFramePr>
        <xdr:cNvPr id="2" name="Chart 1">
          <a:extLst>
            <a:ext uri="{FF2B5EF4-FFF2-40B4-BE49-F238E27FC236}">
              <a16:creationId xmlns:a16="http://schemas.microsoft.com/office/drawing/2014/main" id="{5E1A7891-504C-4660-97F5-91F16AD0A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107950</xdr:colOff>
      <xdr:row>3</xdr:row>
      <xdr:rowOff>38100</xdr:rowOff>
    </xdr:to>
    <xdr:pic>
      <xdr:nvPicPr>
        <xdr:cNvPr id="4" name="Graphic 3" descr="Home">
          <a:hlinkClick xmlns:r="http://schemas.openxmlformats.org/officeDocument/2006/relationships" r:id="rId2"/>
          <a:extLst>
            <a:ext uri="{FF2B5EF4-FFF2-40B4-BE49-F238E27FC236}">
              <a16:creationId xmlns:a16="http://schemas.microsoft.com/office/drawing/2014/main" id="{5A52BD4C-345A-5859-B18A-7F1B5A70BE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17550" cy="5905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7847225" createdVersion="5" refreshedVersion="8" minRefreshableVersion="3" recordCount="0" supportSubquery="1" supportAdvancedDrill="1" xr:uid="{53755025-0625-4D83-9CC5-0605276DB368}">
  <cacheSource type="external" connectionId="3"/>
  <cacheFields count="4">
    <cacheField name="[Measures].[Average of Patient Satisfaction Score]" caption="Average of Patient Satisfaction Score" numFmtId="0" hierarchy="26" level="32767"/>
    <cacheField name="[Calender Table].[Date].[Date]" caption="Date" numFmtId="0" level="1">
      <sharedItems containsSemiMixedTypes="0" containsNonDate="0" containsDate="1" containsString="0" minDate="2024-08-01T00:00:00" maxDate="2024-09-01T00:00:00" count="3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7962964" createdVersion="5" refreshedVersion="8" minRefreshableVersion="3" recordCount="0" supportSubquery="1" supportAdvancedDrill="1" xr:uid="{99F1C43D-6072-4726-8C8B-0AAB5BD9FF46}">
  <cacheSource type="external" connectionId="3"/>
  <cacheFields count="3">
    <cacheField name="[Measures].[Distinct Count of Patient Id]" caption="Distinct Count of Patient Id" numFmtId="0" hierarchy="22"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8310187" createdVersion="5" refreshedVersion="8" minRefreshableVersion="3" recordCount="0" supportSubquery="1" supportAdvancedDrill="1" xr:uid="{A0DD01CD-229B-4965-87CF-8AB7613E0E9F}">
  <cacheSource type="external" connectionId="3"/>
  <cacheFields count="4">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28" level="32767"/>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8425926" createdVersion="5" refreshedVersion="8" minRefreshableVersion="3" recordCount="0" supportSubquery="1" supportAdvancedDrill="1" xr:uid="{D1A2DC13-A560-4236-A0D1-308CDA0D5909}">
  <cacheSource type="external" connectionId="3"/>
  <cacheFields count="3">
    <cacheField name="[Measures].[Average of Patient Satisfaction Score]" caption="Average of Patient Satisfaction Score" numFmtId="0" hierarchy="26"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8888888" createdVersion="5" refreshedVersion="8" minRefreshableVersion="3" recordCount="0" supportSubquery="1" supportAdvancedDrill="1" xr:uid="{44A13302-8D59-48B6-9A4D-85BD9EF44F97}">
  <cacheSource type="external" connectionId="3"/>
  <cacheFields count="4">
    <cacheField name="[Measures].[Distinct Count of Patient Id]" caption="Distinct Count of Patient Id" numFmtId="0" hierarchy="22"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Calender Table].[Date].[Date]" caption="Date" numFmtId="0" level="1">
      <sharedItems containsSemiMixedTypes="0" containsNonDate="0" containsDate="1" containsString="0" minDate="2024-08-01T00:00:00" maxDate="2024-09-01T00:00:00" count="31">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s>
  <cacheHierarchies count="3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3"/>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9236111" createdVersion="5" refreshedVersion="8" minRefreshableVersion="3" recordCount="0" supportSubquery="1" supportAdvancedDrill="1" xr:uid="{E8E76E16-1DC8-4373-AE9C-A73BE04E0977}">
  <cacheSource type="external" connectionId="3"/>
  <cacheFields count="4">
    <cacheField name="[Measures].[Average of Patient Waittime]" caption="Average of Patient Waittime" numFmtId="0" hierarchy="24"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Calender Table].[Date].[Date]" caption="Date" numFmtId="0" level="1">
      <sharedItems containsSemiMixedTypes="0" containsNonDate="0" containsDate="1" containsString="0" minDate="2024-06-29T00:00:00" maxDate="2024-09-01T00:00:00" count="32">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6-29T00:00:00" u="1"/>
      </sharedItems>
    </cacheField>
  </cacheFields>
  <cacheHierarchies count="3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3"/>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89814812" createdVersion="5" refreshedVersion="8" minRefreshableVersion="3" recordCount="0" supportSubquery="1" supportAdvancedDrill="1" xr:uid="{3AC0A4D4-08F3-4761-92A6-468BACB61C5B}">
  <cacheSource type="external" connectionId="3"/>
  <cacheFields count="4">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Calender Table].[Date].[Date]" caption="Date" numFmtId="0" level="1">
      <sharedItems containsSemiMixedTypes="0" containsNonDate="0" containsDate="1" containsString="0" minDate="2024-08-01T00:00:00" maxDate="2024-09-01T00:00:00" count="3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Measures].[Sum of Patient Satisfaction Score]" caption="Sum of Patient Satisfaction Score" numFmtId="0" hierarchy="25" level="32767"/>
  </cacheFields>
  <cacheHierarchies count="3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2"/>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9039352" createdVersion="5" refreshedVersion="8" minRefreshableVersion="3" recordCount="0" supportSubquery="1" supportAdvancedDrill="1" xr:uid="{79D8A10C-D32A-44A4-A22E-29C0840FE7AA}">
  <cacheSource type="external" connectionId="3"/>
  <cacheFields count="5">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7" level="32767"/>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9097222" createdVersion="5" refreshedVersion="8" minRefreshableVersion="3" recordCount="0" supportSubquery="1" supportAdvancedDrill="1" xr:uid="{3AB04430-E07B-437E-A4C3-79226D07D3DD}">
  <cacheSource type="external" connectionId="3"/>
  <cacheFields count="4">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29" level="32767"/>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91435182" createdVersion="5" refreshedVersion="8" minRefreshableVersion="3" recordCount="0" supportSubquery="1" supportAdvancedDrill="1" xr:uid="{A0D4221A-8CF9-4D9B-BAE6-6409D2862B79}">
  <cacheSource type="external" connectionId="3"/>
  <cacheFields count="4">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Hospital Emergency Room Data].[Age Group].[Age Group]" caption="Age Group" numFmtId="0" hierarchy="15" level="1">
      <sharedItems count="8">
        <s v="0-9"/>
        <s v="10-19"/>
        <s v="20-29"/>
        <s v="30-39"/>
        <s v="40-49"/>
        <s v="50-59"/>
        <s v="60-69"/>
        <s v="70-79"/>
      </sharedItems>
    </cacheField>
    <cacheField name="[Measures].[Count of Age Group]" caption="Count of Age Group" numFmtId="0" hierarchy="30" level="32767"/>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91666667" createdVersion="5" refreshedVersion="8" minRefreshableVersion="3" recordCount="0" supportSubquery="1" supportAdvancedDrill="1" xr:uid="{9C3B7CA6-A1BB-499B-A564-01C646A26F05}">
  <cacheSource type="external" connectionId="3"/>
  <cacheFields count="4">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Hospital Emergency Room Data].[Patient Attendance Status].[Patient Attendance Status]" caption="Patient Attendance Status" numFmtId="0" hierarchy="16" level="1">
      <sharedItems count="2">
        <s v="Delay"/>
        <s v="On Time"/>
      </sharedItems>
    </cacheField>
    <cacheField name="[Measures].[Count of Patient Attendance Status]" caption="Count of Patient Attendance Status" numFmtId="0" hierarchy="31" level="32767"/>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2" memberValueDatatype="130" unbalanced="0">
      <fieldsUsage count="2">
        <fieldUsage x="-1"/>
        <fieldUsage x="2"/>
      </fieldsUsage>
    </cacheHierarchy>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2.533291898151" createdVersion="5" refreshedVersion="8" minRefreshableVersion="3" recordCount="0" supportSubquery="1" supportAdvancedDrill="1" xr:uid="{A093A5EA-20CB-4524-9BB4-1F26BB2FC5DE}">
  <cacheSource type="external" connectionId="3"/>
  <cacheFields count="3">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Measures].[Average of Patient Waittime]" caption="Average of Patient Waittime" numFmtId="0" hierarchy="24" level="32767"/>
  </cacheFields>
  <cacheHierarchies count="3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ance Status]" caption="Count of Patient Attendance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sin Kalim Khan" refreshedDate="46131.824910995369" createdVersion="3" refreshedVersion="8" minRefreshableVersion="3" recordCount="0" supportSubquery="1" supportAdvancedDrill="1" xr:uid="{36D1D15E-722D-4FAD-89D1-93AD5A21626F}">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060965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533436-E7E8-4BA8-A4D9-24832DFBDB55}" name="PivotTable12" cacheId="10" applyNumberFormats="0" applyBorderFormats="0" applyFontFormats="0" applyPatternFormats="0" applyAlignmentFormats="0" applyWidthHeightFormats="1" dataCaption="Values" tag="1725ba7c-b3fb-47bb-966d-6f576c95e42b" updatedVersion="8" minRefreshableVersion="3" itemPrintTitles="1" createdVersion="5" indent="0" outline="1" outlineData="1" multipleFieldFilters="0" chartFormat="13">
  <location ref="Z4:AA7"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Attendance Status" fld="3" subtotal="count" showDataAs="percentOfTotal" baseField="0" baseItem="0" numFmtId="10"/>
  </dataFields>
  <formats count="3">
    <format dxfId="2">
      <pivotArea outline="0" collapsedLevelsAreSubtotals="1" fieldPosition="0"/>
    </format>
    <format dxfId="1">
      <pivotArea outline="0" fieldPosition="0">
        <references count="1">
          <reference field="4294967294" count="1">
            <x v="0"/>
          </reference>
        </references>
      </pivotArea>
    </format>
    <format dxfId="0">
      <pivotArea collapsedLevelsAreSubtotals="1" fieldPosition="0">
        <references count="1">
          <reference field="2" count="0"/>
        </references>
      </pivotArea>
    </format>
  </formats>
  <chartFormats count="4">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522F4-9A28-483F-9847-A2B6923022BC}" name="PivotTable11" cacheId="9" applyNumberFormats="0" applyBorderFormats="0" applyFontFormats="0" applyPatternFormats="0" applyAlignmentFormats="0" applyWidthHeightFormats="1" dataCaption="Values" tag="d1bfe4d2-f65b-4e6a-9942-f7e9cb795543" updatedVersion="8" minRefreshableVersion="3" itemPrintTitles="1" createdVersion="5" indent="0" outline="1" outlineData="1" multipleFieldFilters="0" chartFormat="9">
  <location ref="W4:X1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1">
    <format dxfId="3">
      <pivotArea outline="0" collapsedLevelsAreSubtotals="1" fieldPosition="0"/>
    </format>
  </formats>
  <chartFormats count="2">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F4499E-62C8-4838-9035-023DEA72EAAC}" name="PivotTable6" cacheId="5" applyNumberFormats="0" applyBorderFormats="0" applyFontFormats="0" applyPatternFormats="0" applyAlignmentFormats="0" applyWidthHeightFormats="1" dataCaption="Values" tag="fac4f4ef-e365-4a71-a911-c12e54574be3" updatedVersion="8" minRefreshableVersion="3" itemPrintTitles="1" createdVersion="5" indent="0" outline="1" outlineData="1" multipleFieldFilters="0" chartFormat="11">
  <location ref="G2:H34"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numFmtId="1"/>
  </dataFields>
  <formats count="1">
    <format dxfId="4">
      <pivotArea outline="0" collapsedLevelsAreSubtotals="1" fieldPosition="0"/>
    </format>
  </formats>
  <chartFormats count="4">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31"/>
          </reference>
        </references>
      </pivotArea>
    </chartFormat>
    <chartFormat chart="10"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19963-0641-49E3-A41C-F751423212C8}" name="PivotTable4" cacheId="0" applyNumberFormats="0" applyBorderFormats="0" applyFontFormats="0" applyPatternFormats="0" applyAlignmentFormats="0" applyWidthHeightFormats="1" dataCaption="Values" tag="7a1392ad-d646-4311-900d-a49be9d5477c" updatedVersion="8" minRefreshableVersion="3" itemPrintTitles="1" createdVersion="5" indent="0" outline="1" outlineData="1" multipleFieldFilters="0">
  <location ref="A10:B41"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0" subtotal="average" baseField="0" baseItem="0" numFmtId="2"/>
  </dataFields>
  <formats count="1">
    <format dxfId="5">
      <pivotArea outline="0" collapsedLevelsAreSubtotals="1" fieldPosition="0"/>
    </format>
  </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1E4F6-4473-4C3E-83DC-DD476808B025}" name="PivotTable2" cacheId="2" applyNumberFormats="0" applyBorderFormats="0" applyFontFormats="0" applyPatternFormats="0" applyAlignmentFormats="0" applyWidthHeightFormats="1" dataCaption="Values" tag="dccb9c57-e976-41ba-a80e-792fe07524d1" updatedVersion="8" minRefreshableVersion="3" itemPrintTitles="1" createdVersion="5" indent="0" outline="1" outlineData="1" multipleFieldFilters="0" chartFormat="4">
  <location ref="T3:U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showDataAs="percentOfTotal" baseField="0" baseItem="0" numFmtId="10"/>
  </dataFields>
  <formats count="3">
    <format dxfId="8">
      <pivotArea outline="0" collapsedLevelsAreSubtotals="1" fieldPosition="0"/>
    </format>
    <format dxfId="7">
      <pivotArea outline="0" fieldPosition="0">
        <references count="1">
          <reference field="4294967294" count="1">
            <x v="0"/>
          </reference>
        </references>
      </pivotArea>
    </format>
    <format dxfId="6">
      <pivotArea collapsedLevelsAreSubtotals="1" fieldPosition="0">
        <references count="1">
          <reference field="2" count="0"/>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1126B-EBC9-4FF4-8885-255993ECF069}" name="PivotTable13" cacheId="11" applyNumberFormats="0" applyBorderFormats="0" applyFontFormats="0" applyPatternFormats="0" applyAlignmentFormats="0" applyWidthHeightFormats="1" dataCaption="Values" tag="649e82d7-9642-40c9-a7b7-83ae751d78a9" updatedVersion="8" minRefreshableVersion="3" subtotalHiddenItems="1" itemPrintTitles="1" createdVersion="5" indent="0" outline="1" outlineData="1" multipleFieldFilters="0">
  <location ref="D2:D3" firstHeaderRow="1" firstDataRow="1" firstDataCol="0"/>
  <pivotFields count="3">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Patient Waittime" fld="2" subtotal="average" baseField="0" baseItem="0" numFmtId="1"/>
  </dataFields>
  <formats count="1">
    <format dxfId="9">
      <pivotArea outline="0" collapsedLevelsAreSubtotals="1" fieldPosition="0"/>
    </format>
  </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010182-A262-4E78-948A-09B18BAB6E0E}" name="PivotTable10" cacheId="8" applyNumberFormats="0" applyBorderFormats="0" applyFontFormats="0" applyPatternFormats="0" applyAlignmentFormats="0" applyWidthHeightFormats="1" dataCaption="Values" tag="7d543d7e-15d0-4cb2-b8c2-bb97afbed5f0" updatedVersion="8" minRefreshableVersion="3" itemPrintTitles="1" createdVersion="5" indent="0" outline="1" outlineData="1" multipleFieldFilters="0" chartFormat="8">
  <location ref="T11:U2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7"/>
    </i>
    <i>
      <x v="1"/>
    </i>
    <i>
      <x/>
    </i>
    <i>
      <x v="3"/>
    </i>
    <i>
      <x v="6"/>
    </i>
    <i>
      <x v="5"/>
    </i>
    <i>
      <x v="2"/>
    </i>
    <i>
      <x v="4"/>
    </i>
    <i t="grand">
      <x/>
    </i>
  </rowItems>
  <colItems count="1">
    <i/>
  </colItems>
  <dataFields count="1">
    <dataField name="Count of Department Referral" fld="3" subtotal="count" baseField="0" baseItem="0"/>
  </dataFields>
  <formats count="1">
    <format dxfId="1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3513C4-FCF6-4F03-BD55-FFDE19433694}" name="PivotTable7" cacheId="6" applyNumberFormats="0" applyBorderFormats="0" applyFontFormats="0" applyPatternFormats="0" applyAlignmentFormats="0" applyWidthHeightFormats="1" dataCaption="Values" tag="13a12d4f-8eb9-4944-9aac-30bc8f03b714" updatedVersion="8" minRefreshableVersion="3" itemPrintTitles="1" createdVersion="5" indent="0" outline="1" outlineData="1" multipleFieldFilters="0" chartFormat="18">
  <location ref="J2:K33"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3" baseField="0" baseItem="0"/>
  </dataFields>
  <formats count="1">
    <format dxfId="11">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3A2E9-C22F-4036-99BA-FD59F16276DE}" name="PivotTable8" cacheId="7" applyNumberFormats="0" applyBorderFormats="0" applyFontFormats="0" applyPatternFormats="0" applyAlignmentFormats="0" applyWidthHeightFormats="1" dataCaption="Values" tag="52429bfd-bf6d-456e-8b41-ba8ee6c6eec9" updatedVersion="8" minRefreshableVersion="3" subtotalHiddenItems="1" itemPrintTitles="1" createdVersion="5" indent="0" outline="1" outlineData="1" multipleFieldFilters="0" chartFormat="12">
  <location ref="M4:O7"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3" subtotal="count" baseField="0" baseItem="0">
      <extLst>
        <ext xmlns:x14="http://schemas.microsoft.com/office/spreadsheetml/2009/9/main" uri="{E15A36E0-9728-4e99-A89B-3F7291B0FE68}">
          <x14:dataField sourceField="3"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3"/>
        </ext>
      </extLst>
    </dataField>
  </dataFields>
  <formats count="2">
    <format dxfId="13">
      <pivotArea outline="0" collapsedLevelsAreSubtotals="1" fieldPosition="0"/>
    </format>
    <format dxfId="1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C549D5-15D3-4000-9070-4150DAE0EAB7}" name="PivotTable1" cacheId="1" applyNumberFormats="0" applyBorderFormats="0" applyFontFormats="0" applyPatternFormats="0" applyAlignmentFormats="0" applyWidthHeightFormats="1" dataCaption="Values" tag="db24cc9e-1aa5-4f3d-9f8f-373015e73403" updatedVersion="8" minRefreshableVersion="3" itemPrintTitles="1" createdVersion="5"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9D0416-0F64-49C0-9335-7412088DDC7C}" name="PivotTable5" cacheId="4" applyNumberFormats="0" applyBorderFormats="0" applyFontFormats="0" applyPatternFormats="0" applyAlignmentFormats="0" applyWidthHeightFormats="1" dataCaption="Values" tag="e0d85f09-38f5-4bf6-a6cf-323da24333df" updatedVersion="8" minRefreshableVersion="3" itemPrintTitles="1" createdVersion="5" indent="0" outline="1" outlineData="1" multipleFieldFilters="0" chartFormat="9">
  <location ref="D13:E45"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4CC6DA-DF00-4C2C-85F4-23782D335F4E}" name="PivotTable3" cacheId="3" applyNumberFormats="0" applyBorderFormats="0" applyFontFormats="0" applyPatternFormats="0" applyAlignmentFormats="0" applyWidthHeightFormats="1" dataCaption="Values" tag="52429bfd-bf6d-456e-8b41-ba8ee6c6eec9" updatedVersion="8" minRefreshableVersion="3"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4">
      <pivotArea outline="0" collapsedLevelsAreSubtotals="1" fieldPosition="0"/>
    </format>
  </formats>
  <pivotHierarchies count="32">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1C14C92-0E21-4393-B4F0-4E241AA60F27}"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s>
  <data>
    <olap pivotCacheId="1706096598">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nd="1"/>
              <i n="[Calender Table].[Date (Month)].&amp;[Dec]" c="Dec" nd="1"/>
            </range>
          </ranges>
        </level>
      </levels>
      <selections count="1">
        <selection n="[Calender 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90FE64B-E19D-42DE-83EF-6A712A371FF4}" sourceName="[Calender Table].[Date (Year)]">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s>
  <data>
    <olap pivotCacheId="1706096598">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313E7F1-79EA-48AF-85F0-8C6D2F429181}" cache="Slicer_Date__Month" caption="Date (Month)" columnCount="6" showCaption="0" level="1" style="SlicerStyleLight2" rowHeight="241300"/>
  <slicer name="Date (Year)" xr10:uid="{F409AECB-563D-42E0-BB26-363C68F342D0}" cache="Slicer_Date__Year" caption="Date (Year)" columnCount="2" showCaption="0" level="1"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8338-8EC8-47B1-93AC-AC2E16FCEBB6}">
  <dimension ref="A1:AA45"/>
  <sheetViews>
    <sheetView topLeftCell="D1" workbookViewId="0">
      <selection activeCell="T11" sqref="T11"/>
    </sheetView>
  </sheetViews>
  <sheetFormatPr defaultRowHeight="14.5" x14ac:dyDescent="0.35"/>
  <cols>
    <col min="1" max="2" width="31.90625" bestFit="1" customWidth="1"/>
    <col min="4" max="5" width="24.81640625" bestFit="1" customWidth="1"/>
    <col min="7" max="7" width="12.36328125" bestFit="1" customWidth="1"/>
    <col min="8" max="8" width="24.81640625" bestFit="1" customWidth="1"/>
    <col min="10" max="10" width="12.36328125" bestFit="1" customWidth="1"/>
    <col min="11" max="11" width="28.7265625" bestFit="1" customWidth="1"/>
    <col min="13" max="13" width="15.08984375" bestFit="1" customWidth="1"/>
    <col min="14" max="14" width="13" customWidth="1"/>
    <col min="15" max="15" width="27.81640625" bestFit="1" customWidth="1"/>
    <col min="16" max="16" width="13.7265625" customWidth="1"/>
    <col min="20" max="20" width="24.81640625" bestFit="1" customWidth="1"/>
    <col min="21" max="21" width="26.26953125" bestFit="1" customWidth="1"/>
    <col min="23" max="23" width="12.36328125" bestFit="1" customWidth="1"/>
    <col min="24" max="24" width="17.54296875" bestFit="1" customWidth="1"/>
    <col min="26" max="26" width="12.36328125" bestFit="1" customWidth="1"/>
    <col min="27" max="27" width="31" bestFit="1" customWidth="1"/>
  </cols>
  <sheetData>
    <row r="1" spans="1:27" x14ac:dyDescent="0.35">
      <c r="A1" s="15" t="s">
        <v>40</v>
      </c>
      <c r="D1" s="15" t="s">
        <v>37</v>
      </c>
      <c r="G1" s="16" t="s">
        <v>41</v>
      </c>
      <c r="H1" s="16"/>
    </row>
    <row r="2" spans="1:27" x14ac:dyDescent="0.35">
      <c r="A2" t="s">
        <v>2</v>
      </c>
      <c r="D2" t="s">
        <v>3</v>
      </c>
      <c r="G2" s="1" t="s">
        <v>0</v>
      </c>
      <c r="H2" t="s">
        <v>3</v>
      </c>
      <c r="J2" s="1" t="s">
        <v>0</v>
      </c>
      <c r="K2" t="s">
        <v>5</v>
      </c>
      <c r="T2" s="16" t="s">
        <v>44</v>
      </c>
      <c r="U2" s="16"/>
    </row>
    <row r="3" spans="1:27" x14ac:dyDescent="0.35">
      <c r="A3">
        <v>530</v>
      </c>
      <c r="D3" s="5">
        <v>35.113207547169814</v>
      </c>
      <c r="G3" s="2">
        <v>45505</v>
      </c>
      <c r="H3" s="5">
        <v>35.285714285714285</v>
      </c>
      <c r="J3" s="2">
        <v>45505</v>
      </c>
      <c r="K3" s="5">
        <v>36</v>
      </c>
      <c r="M3" s="16" t="s">
        <v>43</v>
      </c>
      <c r="N3" s="16"/>
      <c r="O3" s="16"/>
      <c r="T3" s="1" t="s">
        <v>0</v>
      </c>
      <c r="U3" t="s">
        <v>15</v>
      </c>
      <c r="W3" s="16" t="s">
        <v>45</v>
      </c>
      <c r="X3" s="16"/>
      <c r="Z3" s="16" t="s">
        <v>46</v>
      </c>
      <c r="AA3" s="16"/>
    </row>
    <row r="4" spans="1:27" x14ac:dyDescent="0.35">
      <c r="G4" s="2">
        <v>45506</v>
      </c>
      <c r="H4" s="5">
        <v>31.842105263157894</v>
      </c>
      <c r="J4" s="2">
        <v>45506</v>
      </c>
      <c r="K4" s="5">
        <v>28</v>
      </c>
      <c r="M4" s="1" t="s">
        <v>0</v>
      </c>
      <c r="N4" t="s">
        <v>9</v>
      </c>
      <c r="O4" t="s">
        <v>8</v>
      </c>
      <c r="T4" s="3" t="s">
        <v>13</v>
      </c>
      <c r="U4" s="13">
        <v>0.48867924528301887</v>
      </c>
      <c r="W4" s="1" t="s">
        <v>0</v>
      </c>
      <c r="X4" t="s">
        <v>33</v>
      </c>
      <c r="Z4" s="1" t="s">
        <v>0</v>
      </c>
      <c r="AA4" t="s">
        <v>36</v>
      </c>
    </row>
    <row r="5" spans="1:27" x14ac:dyDescent="0.35">
      <c r="A5" s="15" t="s">
        <v>39</v>
      </c>
      <c r="G5" s="2">
        <v>45507</v>
      </c>
      <c r="H5" s="5">
        <v>34.714285714285715</v>
      </c>
      <c r="J5" s="2">
        <v>45507</v>
      </c>
      <c r="K5" s="5">
        <v>37</v>
      </c>
      <c r="M5" s="3" t="s">
        <v>7</v>
      </c>
      <c r="N5" s="4">
        <v>242</v>
      </c>
      <c r="O5" s="9">
        <v>0.45660377358490567</v>
      </c>
      <c r="T5" s="3" t="s">
        <v>14</v>
      </c>
      <c r="U5" s="13">
        <v>0.51132075471698113</v>
      </c>
      <c r="W5" s="3" t="s">
        <v>25</v>
      </c>
      <c r="X5" s="5">
        <v>63</v>
      </c>
      <c r="Z5" s="3" t="s">
        <v>34</v>
      </c>
      <c r="AA5" s="13">
        <v>0.60943396226415092</v>
      </c>
    </row>
    <row r="6" spans="1:27" x14ac:dyDescent="0.35">
      <c r="A6" t="s">
        <v>4</v>
      </c>
      <c r="G6" s="2">
        <v>45508</v>
      </c>
      <c r="H6" s="5">
        <v>42.823529411764703</v>
      </c>
      <c r="J6" s="2">
        <v>45508</v>
      </c>
      <c r="K6" s="5">
        <v>9</v>
      </c>
      <c r="M6" s="3" t="s">
        <v>6</v>
      </c>
      <c r="N6" s="4">
        <v>288</v>
      </c>
      <c r="O6" s="9">
        <v>0.54339622641509433</v>
      </c>
      <c r="T6" s="3" t="s">
        <v>1</v>
      </c>
      <c r="U6" s="9">
        <v>1</v>
      </c>
      <c r="W6" s="3" t="s">
        <v>26</v>
      </c>
      <c r="X6" s="5">
        <v>63</v>
      </c>
      <c r="Z6" s="3" t="s">
        <v>35</v>
      </c>
      <c r="AA6" s="13">
        <v>0.39056603773584908</v>
      </c>
    </row>
    <row r="7" spans="1:27" x14ac:dyDescent="0.35">
      <c r="A7" s="4">
        <v>5.1769911504424782</v>
      </c>
      <c r="G7" s="2">
        <v>45509</v>
      </c>
      <c r="H7" s="5">
        <v>32.157894736842103</v>
      </c>
      <c r="J7" s="2">
        <v>45509</v>
      </c>
      <c r="K7" s="5">
        <v>24</v>
      </c>
      <c r="M7" s="3" t="s">
        <v>1</v>
      </c>
      <c r="N7" s="4">
        <v>530</v>
      </c>
      <c r="O7" s="9">
        <v>1</v>
      </c>
      <c r="W7" s="3" t="s">
        <v>27</v>
      </c>
      <c r="X7" s="5">
        <v>65</v>
      </c>
      <c r="Z7" s="3" t="s">
        <v>1</v>
      </c>
      <c r="AA7" s="9">
        <v>1</v>
      </c>
    </row>
    <row r="8" spans="1:27" x14ac:dyDescent="0.35">
      <c r="G8" s="2">
        <v>45510</v>
      </c>
      <c r="H8" s="5">
        <v>34.833333333333336</v>
      </c>
      <c r="J8" s="2">
        <v>45510</v>
      </c>
      <c r="K8" s="5">
        <v>19</v>
      </c>
      <c r="W8" s="3" t="s">
        <v>28</v>
      </c>
      <c r="X8" s="5">
        <v>60</v>
      </c>
    </row>
    <row r="9" spans="1:27" x14ac:dyDescent="0.35">
      <c r="A9" s="16" t="s">
        <v>38</v>
      </c>
      <c r="B9" s="16"/>
      <c r="G9" s="2">
        <v>45511</v>
      </c>
      <c r="H9" s="5">
        <v>33.4</v>
      </c>
      <c r="J9" s="2">
        <v>45512</v>
      </c>
      <c r="K9" s="5">
        <v>9</v>
      </c>
      <c r="N9" s="4"/>
      <c r="O9" s="9"/>
      <c r="W9" s="3" t="s">
        <v>29</v>
      </c>
      <c r="X9" s="5">
        <v>65</v>
      </c>
    </row>
    <row r="10" spans="1:27" x14ac:dyDescent="0.35">
      <c r="A10" s="1" t="s">
        <v>0</v>
      </c>
      <c r="B10" t="s">
        <v>4</v>
      </c>
      <c r="G10" s="2">
        <v>45512</v>
      </c>
      <c r="H10" s="5">
        <v>28.15</v>
      </c>
      <c r="J10" s="2">
        <v>45513</v>
      </c>
      <c r="K10" s="5">
        <v>12</v>
      </c>
      <c r="N10" s="4"/>
      <c r="O10" s="9"/>
      <c r="T10" s="16" t="s">
        <v>47</v>
      </c>
      <c r="U10" s="16"/>
      <c r="W10" s="3" t="s">
        <v>30</v>
      </c>
      <c r="X10" s="5">
        <v>72</v>
      </c>
    </row>
    <row r="11" spans="1:27" x14ac:dyDescent="0.35">
      <c r="A11" s="2">
        <v>45505</v>
      </c>
      <c r="B11" s="4">
        <v>4.5</v>
      </c>
      <c r="G11" s="2">
        <v>45513</v>
      </c>
      <c r="H11" s="5">
        <v>31.333333333333332</v>
      </c>
      <c r="J11" s="2">
        <v>45514</v>
      </c>
      <c r="K11" s="5">
        <v>20</v>
      </c>
      <c r="T11" s="1" t="s">
        <v>0</v>
      </c>
      <c r="U11" t="s">
        <v>24</v>
      </c>
      <c r="W11" s="3" t="s">
        <v>31</v>
      </c>
      <c r="X11" s="5">
        <v>73</v>
      </c>
    </row>
    <row r="12" spans="1:27" x14ac:dyDescent="0.35">
      <c r="A12" s="2">
        <v>45506</v>
      </c>
      <c r="B12" s="4">
        <v>4.666666666666667</v>
      </c>
      <c r="D12" s="16" t="s">
        <v>42</v>
      </c>
      <c r="E12" s="16"/>
      <c r="G12" s="2">
        <v>45514</v>
      </c>
      <c r="H12" s="5">
        <v>37.375</v>
      </c>
      <c r="J12" s="2">
        <v>45515</v>
      </c>
      <c r="K12" s="5">
        <v>8</v>
      </c>
      <c r="M12" s="10" t="s">
        <v>10</v>
      </c>
      <c r="N12" s="10" t="s">
        <v>11</v>
      </c>
      <c r="O12" s="10" t="s">
        <v>12</v>
      </c>
      <c r="P12" s="10"/>
      <c r="T12" s="3" t="s">
        <v>23</v>
      </c>
      <c r="U12" s="5">
        <v>7</v>
      </c>
      <c r="W12" s="3" t="s">
        <v>32</v>
      </c>
      <c r="X12" s="5">
        <v>69</v>
      </c>
    </row>
    <row r="13" spans="1:27" x14ac:dyDescent="0.35">
      <c r="A13" s="2">
        <v>45507</v>
      </c>
      <c r="B13" s="4">
        <v>7.4</v>
      </c>
      <c r="D13" s="1" t="s">
        <v>0</v>
      </c>
      <c r="E13" t="s">
        <v>2</v>
      </c>
      <c r="G13" s="2">
        <v>45515</v>
      </c>
      <c r="H13" s="5">
        <v>36.0625</v>
      </c>
      <c r="J13" s="2">
        <v>45516</v>
      </c>
      <c r="K13" s="5">
        <v>11</v>
      </c>
      <c r="M13" s="10" t="str">
        <f t="shared" ref="M13:O14" si="0">M5</f>
        <v>Admitted</v>
      </c>
      <c r="N13" s="11">
        <f t="shared" si="0"/>
        <v>242</v>
      </c>
      <c r="O13" s="12">
        <f t="shared" si="0"/>
        <v>0.45660377358490567</v>
      </c>
      <c r="P13" s="10"/>
      <c r="T13" s="3" t="s">
        <v>17</v>
      </c>
      <c r="U13" s="5">
        <v>10</v>
      </c>
      <c r="W13" s="3" t="s">
        <v>1</v>
      </c>
      <c r="X13" s="5">
        <v>530</v>
      </c>
    </row>
    <row r="14" spans="1:27" x14ac:dyDescent="0.35">
      <c r="A14" s="2">
        <v>45508</v>
      </c>
      <c r="B14" s="4">
        <v>4.5</v>
      </c>
      <c r="D14" s="2">
        <v>45505</v>
      </c>
      <c r="E14">
        <v>28</v>
      </c>
      <c r="G14" s="2">
        <v>45516</v>
      </c>
      <c r="H14" s="5">
        <v>40.5</v>
      </c>
      <c r="J14" s="2">
        <v>45517</v>
      </c>
      <c r="K14" s="5">
        <v>12</v>
      </c>
      <c r="M14" s="10" t="str">
        <f t="shared" si="0"/>
        <v>Not Admitted</v>
      </c>
      <c r="N14" s="11">
        <f t="shared" si="0"/>
        <v>288</v>
      </c>
      <c r="O14" s="12">
        <f t="shared" si="0"/>
        <v>0.54339622641509433</v>
      </c>
      <c r="P14" s="10"/>
      <c r="T14" s="3" t="s">
        <v>16</v>
      </c>
      <c r="U14" s="5">
        <v>12</v>
      </c>
    </row>
    <row r="15" spans="1:27" x14ac:dyDescent="0.35">
      <c r="A15" s="2">
        <v>45509</v>
      </c>
      <c r="B15" s="4">
        <v>4.8</v>
      </c>
      <c r="D15" s="2">
        <v>45506</v>
      </c>
      <c r="E15">
        <v>19</v>
      </c>
      <c r="G15" s="2">
        <v>45517</v>
      </c>
      <c r="H15" s="5">
        <v>39.571428571428569</v>
      </c>
      <c r="J15" s="2">
        <v>45518</v>
      </c>
      <c r="K15" s="5">
        <v>15</v>
      </c>
      <c r="T15" s="3" t="s">
        <v>19</v>
      </c>
      <c r="U15" s="5">
        <v>14</v>
      </c>
    </row>
    <row r="16" spans="1:27" x14ac:dyDescent="0.35">
      <c r="A16" s="2">
        <v>45510</v>
      </c>
      <c r="B16" s="4">
        <v>4.75</v>
      </c>
      <c r="D16" s="2">
        <v>45507</v>
      </c>
      <c r="E16">
        <v>14</v>
      </c>
      <c r="G16" s="2">
        <v>45518</v>
      </c>
      <c r="H16" s="5">
        <v>30.25</v>
      </c>
      <c r="J16" s="2">
        <v>45519</v>
      </c>
      <c r="K16" s="5">
        <v>22</v>
      </c>
      <c r="T16" s="3" t="s">
        <v>22</v>
      </c>
      <c r="U16" s="5">
        <v>18</v>
      </c>
    </row>
    <row r="17" spans="1:21" x14ac:dyDescent="0.35">
      <c r="A17" s="2">
        <v>45512</v>
      </c>
      <c r="B17" s="4">
        <v>2.25</v>
      </c>
      <c r="D17" s="2">
        <v>45508</v>
      </c>
      <c r="E17">
        <v>17</v>
      </c>
      <c r="G17" s="2">
        <v>45519</v>
      </c>
      <c r="H17" s="5">
        <v>39.722222222222221</v>
      </c>
      <c r="J17" s="2">
        <v>45520</v>
      </c>
      <c r="K17" s="5">
        <v>15</v>
      </c>
      <c r="T17" s="3" t="s">
        <v>21</v>
      </c>
      <c r="U17" s="5">
        <v>53</v>
      </c>
    </row>
    <row r="18" spans="1:21" x14ac:dyDescent="0.35">
      <c r="A18" s="2">
        <v>45513</v>
      </c>
      <c r="B18" s="4">
        <v>4</v>
      </c>
      <c r="D18" s="2">
        <v>45509</v>
      </c>
      <c r="E18">
        <v>19</v>
      </c>
      <c r="G18" s="2">
        <v>45520</v>
      </c>
      <c r="H18" s="5">
        <v>38.133333333333333</v>
      </c>
      <c r="J18" s="2">
        <v>45521</v>
      </c>
      <c r="K18" s="5">
        <v>20</v>
      </c>
      <c r="T18" s="3" t="s">
        <v>18</v>
      </c>
      <c r="U18" s="5">
        <v>109</v>
      </c>
    </row>
    <row r="19" spans="1:21" x14ac:dyDescent="0.35">
      <c r="A19" s="2">
        <v>45514</v>
      </c>
      <c r="B19" s="4">
        <v>6.666666666666667</v>
      </c>
      <c r="D19" s="2">
        <v>45510</v>
      </c>
      <c r="E19">
        <v>12</v>
      </c>
      <c r="G19" s="2">
        <v>45521</v>
      </c>
      <c r="H19" s="5">
        <v>34.08</v>
      </c>
      <c r="J19" s="2">
        <v>45522</v>
      </c>
      <c r="K19" s="5">
        <v>7</v>
      </c>
      <c r="T19" s="3" t="s">
        <v>20</v>
      </c>
      <c r="U19" s="5">
        <v>307</v>
      </c>
    </row>
    <row r="20" spans="1:21" x14ac:dyDescent="0.35">
      <c r="A20" s="2">
        <v>45515</v>
      </c>
      <c r="B20" s="4">
        <v>2.6666666666666665</v>
      </c>
      <c r="D20" s="2">
        <v>45511</v>
      </c>
      <c r="E20">
        <v>10</v>
      </c>
      <c r="G20" s="2">
        <v>45522</v>
      </c>
      <c r="H20" s="5">
        <v>30.066666666666666</v>
      </c>
      <c r="J20" s="2">
        <v>45523</v>
      </c>
      <c r="K20" s="5">
        <v>13</v>
      </c>
      <c r="T20" s="3" t="s">
        <v>1</v>
      </c>
      <c r="U20" s="5">
        <v>530</v>
      </c>
    </row>
    <row r="21" spans="1:21" x14ac:dyDescent="0.35">
      <c r="A21" s="2">
        <v>45516</v>
      </c>
      <c r="B21" s="4">
        <v>3.6666666666666665</v>
      </c>
      <c r="D21" s="2">
        <v>45512</v>
      </c>
      <c r="E21">
        <v>20</v>
      </c>
      <c r="G21" s="2">
        <v>45523</v>
      </c>
      <c r="H21" s="5">
        <v>33.263157894736842</v>
      </c>
      <c r="J21" s="2">
        <v>45524</v>
      </c>
      <c r="K21" s="5">
        <v>35</v>
      </c>
    </row>
    <row r="22" spans="1:21" x14ac:dyDescent="0.35">
      <c r="A22" s="2">
        <v>45517</v>
      </c>
      <c r="B22" s="4">
        <v>4</v>
      </c>
      <c r="D22" s="2">
        <v>45513</v>
      </c>
      <c r="E22">
        <v>12</v>
      </c>
      <c r="G22" s="2">
        <v>45524</v>
      </c>
      <c r="H22" s="5">
        <v>38.565217391304351</v>
      </c>
      <c r="J22" s="2">
        <v>45525</v>
      </c>
      <c r="K22" s="5">
        <v>9</v>
      </c>
    </row>
    <row r="23" spans="1:21" x14ac:dyDescent="0.35">
      <c r="A23" s="2">
        <v>45518</v>
      </c>
      <c r="B23" s="4">
        <v>7.5</v>
      </c>
      <c r="D23" s="2">
        <v>45514</v>
      </c>
      <c r="E23">
        <v>24</v>
      </c>
      <c r="G23" s="2">
        <v>45525</v>
      </c>
      <c r="H23" s="5">
        <v>28.6</v>
      </c>
      <c r="J23" s="2">
        <v>45526</v>
      </c>
      <c r="K23" s="5">
        <v>15</v>
      </c>
    </row>
    <row r="24" spans="1:21" x14ac:dyDescent="0.35">
      <c r="A24" s="2">
        <v>45519</v>
      </c>
      <c r="B24" s="4">
        <v>5.5</v>
      </c>
      <c r="D24" s="2">
        <v>45515</v>
      </c>
      <c r="E24">
        <v>16</v>
      </c>
      <c r="G24" s="2">
        <v>45526</v>
      </c>
      <c r="H24" s="5">
        <v>36.285714285714285</v>
      </c>
      <c r="J24" s="2">
        <v>45527</v>
      </c>
      <c r="K24" s="5">
        <v>20</v>
      </c>
    </row>
    <row r="25" spans="1:21" x14ac:dyDescent="0.35">
      <c r="A25" s="2">
        <v>45520</v>
      </c>
      <c r="B25" s="4">
        <v>7.5</v>
      </c>
      <c r="D25" s="2">
        <v>45516</v>
      </c>
      <c r="E25">
        <v>16</v>
      </c>
      <c r="G25" s="2">
        <v>45527</v>
      </c>
      <c r="H25" s="5">
        <v>40.375</v>
      </c>
      <c r="J25" s="2">
        <v>45528</v>
      </c>
      <c r="K25" s="5">
        <v>4</v>
      </c>
    </row>
    <row r="26" spans="1:21" x14ac:dyDescent="0.35">
      <c r="A26" s="2">
        <v>45521</v>
      </c>
      <c r="B26" s="4">
        <v>5</v>
      </c>
      <c r="D26" s="2">
        <v>45517</v>
      </c>
      <c r="E26">
        <v>14</v>
      </c>
      <c r="G26" s="2">
        <v>45528</v>
      </c>
      <c r="H26" s="5">
        <v>34.666666666666664</v>
      </c>
      <c r="J26" s="2">
        <v>45529</v>
      </c>
      <c r="K26" s="5">
        <v>25</v>
      </c>
    </row>
    <row r="27" spans="1:21" x14ac:dyDescent="0.35">
      <c r="A27" s="2">
        <v>45522</v>
      </c>
      <c r="B27" s="4">
        <v>3.5</v>
      </c>
      <c r="D27" s="2">
        <v>45518</v>
      </c>
      <c r="E27">
        <v>12</v>
      </c>
      <c r="G27" s="2">
        <v>45529</v>
      </c>
      <c r="H27" s="5">
        <v>34.863636363636367</v>
      </c>
      <c r="J27" s="2">
        <v>45530</v>
      </c>
      <c r="K27" s="5">
        <v>13</v>
      </c>
    </row>
    <row r="28" spans="1:21" x14ac:dyDescent="0.35">
      <c r="A28" s="2">
        <v>45523</v>
      </c>
      <c r="B28" s="4">
        <v>6.5</v>
      </c>
      <c r="D28" s="2">
        <v>45519</v>
      </c>
      <c r="E28">
        <v>18</v>
      </c>
      <c r="G28" s="2">
        <v>45530</v>
      </c>
      <c r="H28" s="5">
        <v>30.928571428571427</v>
      </c>
      <c r="J28" s="2">
        <v>45531</v>
      </c>
      <c r="K28" s="5">
        <v>24</v>
      </c>
    </row>
    <row r="29" spans="1:21" x14ac:dyDescent="0.35">
      <c r="A29" s="2">
        <v>45524</v>
      </c>
      <c r="B29" s="4">
        <v>5.833333333333333</v>
      </c>
      <c r="D29" s="2">
        <v>45520</v>
      </c>
      <c r="E29">
        <v>15</v>
      </c>
      <c r="G29" s="2">
        <v>45531</v>
      </c>
      <c r="H29" s="5">
        <v>35.6</v>
      </c>
      <c r="J29" s="2">
        <v>45532</v>
      </c>
      <c r="K29" s="5">
        <v>48</v>
      </c>
    </row>
    <row r="30" spans="1:21" x14ac:dyDescent="0.35">
      <c r="A30" s="2">
        <v>45525</v>
      </c>
      <c r="B30" s="4">
        <v>4.5</v>
      </c>
      <c r="D30" s="2">
        <v>45521</v>
      </c>
      <c r="E30">
        <v>25</v>
      </c>
      <c r="G30" s="2">
        <v>45532</v>
      </c>
      <c r="H30" s="5">
        <v>34.952380952380949</v>
      </c>
      <c r="J30" s="2">
        <v>45533</v>
      </c>
      <c r="K30" s="5">
        <v>10</v>
      </c>
    </row>
    <row r="31" spans="1:21" x14ac:dyDescent="0.35">
      <c r="A31" s="2">
        <v>45526</v>
      </c>
      <c r="B31" s="4">
        <v>3.75</v>
      </c>
      <c r="D31" s="2">
        <v>45522</v>
      </c>
      <c r="E31">
        <v>15</v>
      </c>
      <c r="G31" s="2">
        <v>45533</v>
      </c>
      <c r="H31" s="5">
        <v>34.411764705882355</v>
      </c>
      <c r="J31" s="2">
        <v>45534</v>
      </c>
      <c r="K31" s="5">
        <v>20</v>
      </c>
    </row>
    <row r="32" spans="1:21" x14ac:dyDescent="0.35">
      <c r="A32" s="2">
        <v>45527</v>
      </c>
      <c r="B32" s="4">
        <v>10</v>
      </c>
      <c r="D32" s="2">
        <v>45523</v>
      </c>
      <c r="E32">
        <v>19</v>
      </c>
      <c r="G32" s="2">
        <v>45534</v>
      </c>
      <c r="H32" s="5">
        <v>34</v>
      </c>
      <c r="J32" s="2">
        <v>45535</v>
      </c>
      <c r="K32" s="5">
        <v>45</v>
      </c>
    </row>
    <row r="33" spans="1:11" x14ac:dyDescent="0.35">
      <c r="A33" s="2">
        <v>45528</v>
      </c>
      <c r="B33" s="4">
        <v>4</v>
      </c>
      <c r="D33" s="2">
        <v>45524</v>
      </c>
      <c r="E33">
        <v>23</v>
      </c>
      <c r="G33" s="2">
        <v>45535</v>
      </c>
      <c r="H33" s="5">
        <v>36.421052631578945</v>
      </c>
      <c r="J33" s="3" t="s">
        <v>1</v>
      </c>
      <c r="K33" s="5">
        <v>585</v>
      </c>
    </row>
    <row r="34" spans="1:11" x14ac:dyDescent="0.35">
      <c r="A34" s="2">
        <v>45529</v>
      </c>
      <c r="B34" s="4">
        <v>8.3333333333333339</v>
      </c>
      <c r="D34" s="2">
        <v>45525</v>
      </c>
      <c r="E34">
        <v>10</v>
      </c>
      <c r="G34" s="3" t="s">
        <v>1</v>
      </c>
      <c r="H34" s="5">
        <v>35.113207547169814</v>
      </c>
    </row>
    <row r="35" spans="1:11" x14ac:dyDescent="0.35">
      <c r="A35" s="2">
        <v>45530</v>
      </c>
      <c r="B35" s="4">
        <v>3.25</v>
      </c>
      <c r="D35" s="2">
        <v>45526</v>
      </c>
      <c r="E35">
        <v>14</v>
      </c>
    </row>
    <row r="36" spans="1:11" x14ac:dyDescent="0.35">
      <c r="A36" s="2">
        <v>45531</v>
      </c>
      <c r="B36" s="4">
        <v>6</v>
      </c>
      <c r="D36" s="2">
        <v>45527</v>
      </c>
      <c r="E36">
        <v>16</v>
      </c>
    </row>
    <row r="37" spans="1:11" x14ac:dyDescent="0.35">
      <c r="A37" s="2">
        <v>45532</v>
      </c>
      <c r="B37" s="4">
        <v>6</v>
      </c>
      <c r="D37" s="2">
        <v>45528</v>
      </c>
      <c r="E37">
        <v>18</v>
      </c>
    </row>
    <row r="38" spans="1:11" x14ac:dyDescent="0.35">
      <c r="A38" s="2">
        <v>45533</v>
      </c>
      <c r="B38" s="4">
        <v>3.3333333333333335</v>
      </c>
      <c r="D38" s="2">
        <v>45529</v>
      </c>
      <c r="E38">
        <v>22</v>
      </c>
    </row>
    <row r="39" spans="1:11" x14ac:dyDescent="0.35">
      <c r="A39" s="2">
        <v>45534</v>
      </c>
      <c r="B39" s="4">
        <v>6.666666666666667</v>
      </c>
      <c r="D39" s="2">
        <v>45530</v>
      </c>
      <c r="E39">
        <v>14</v>
      </c>
    </row>
    <row r="40" spans="1:11" x14ac:dyDescent="0.35">
      <c r="A40" s="2">
        <v>45535</v>
      </c>
      <c r="B40" s="4">
        <v>5.625</v>
      </c>
      <c r="D40" s="2">
        <v>45531</v>
      </c>
      <c r="E40">
        <v>15</v>
      </c>
    </row>
    <row r="41" spans="1:11" x14ac:dyDescent="0.35">
      <c r="A41" s="3" t="s">
        <v>1</v>
      </c>
      <c r="B41" s="4">
        <v>5.1769911504424782</v>
      </c>
      <c r="D41" s="2">
        <v>45532</v>
      </c>
      <c r="E41">
        <v>21</v>
      </c>
    </row>
    <row r="42" spans="1:11" x14ac:dyDescent="0.35">
      <c r="D42" s="2">
        <v>45533</v>
      </c>
      <c r="E42">
        <v>17</v>
      </c>
    </row>
    <row r="43" spans="1:11" x14ac:dyDescent="0.35">
      <c r="D43" s="2">
        <v>45534</v>
      </c>
      <c r="E43">
        <v>16</v>
      </c>
    </row>
    <row r="44" spans="1:11" x14ac:dyDescent="0.35">
      <c r="D44" s="2">
        <v>45535</v>
      </c>
      <c r="E44">
        <v>19</v>
      </c>
    </row>
    <row r="45" spans="1:11" x14ac:dyDescent="0.35">
      <c r="D45" s="3" t="s">
        <v>1</v>
      </c>
      <c r="E45">
        <v>530</v>
      </c>
    </row>
  </sheetData>
  <mergeCells count="8">
    <mergeCell ref="Z3:AA3"/>
    <mergeCell ref="T10:U10"/>
    <mergeCell ref="A9:B9"/>
    <mergeCell ref="G1:H1"/>
    <mergeCell ref="D12:E12"/>
    <mergeCell ref="M3:O3"/>
    <mergeCell ref="T2:U2"/>
    <mergeCell ref="W3:X3"/>
  </mergeCells>
  <conditionalFormatting sqref="N9:P10">
    <cfRule type="dataBar" priority="1">
      <dataBar>
        <cfvo type="min"/>
        <cfvo type="max"/>
        <color rgb="FF638EC6"/>
      </dataBar>
      <extLst>
        <ext xmlns:x14="http://schemas.microsoft.com/office/spreadsheetml/2009/9/main" uri="{B025F937-C7B1-47D3-B67F-A62EFF666E3E}">
          <x14:id>{B03B95F2-8888-4D46-A16C-500BF8AB29DC}</x14:id>
        </ext>
      </extLst>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x14:cfRule type="dataBar" id="{B03B95F2-8888-4D46-A16C-500BF8AB29DC}">
            <x14:dataBar minLength="0" maxLength="100" gradient="0">
              <x14:cfvo type="autoMin"/>
              <x14:cfvo type="autoMax"/>
              <x14:negativeFillColor rgb="FFFF0000"/>
              <x14:axisColor rgb="FF000000"/>
            </x14:dataBar>
          </x14:cfRule>
          <xm:sqref>N9:P10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FC80B-A7A5-41ED-B7CB-A789D99F024D}">
  <dimension ref="A1:T52"/>
  <sheetViews>
    <sheetView tabSelected="1" zoomScale="90" zoomScaleNormal="90" workbookViewId="0"/>
  </sheetViews>
  <sheetFormatPr defaultRowHeight="14.5" x14ac:dyDescent="0.35"/>
  <cols>
    <col min="6" max="6" width="8.7265625" customWidth="1"/>
    <col min="16" max="16" width="15.08984375" bestFit="1" customWidth="1"/>
    <col min="17" max="17" width="12.1796875" bestFit="1" customWidth="1"/>
    <col min="18" max="18" width="5.81640625" bestFit="1" customWidth="1"/>
  </cols>
  <sheetData>
    <row r="1" spans="1:20" x14ac:dyDescent="0.35">
      <c r="A1" s="6"/>
      <c r="B1" s="6"/>
      <c r="C1" s="6"/>
      <c r="D1" s="6"/>
      <c r="E1" s="6"/>
      <c r="F1" s="6"/>
      <c r="G1" s="6"/>
      <c r="H1" s="6"/>
      <c r="I1" s="6"/>
      <c r="J1" s="6"/>
      <c r="K1" s="6"/>
      <c r="L1" s="6"/>
      <c r="M1" s="6"/>
      <c r="N1" s="6"/>
      <c r="O1" s="6"/>
      <c r="P1" s="6"/>
      <c r="Q1" s="6"/>
      <c r="R1" s="6"/>
      <c r="S1" s="6"/>
      <c r="T1" s="6"/>
    </row>
    <row r="2" spans="1:20" x14ac:dyDescent="0.35">
      <c r="A2" s="6"/>
      <c r="B2" s="6"/>
      <c r="C2" s="6"/>
      <c r="D2" s="6"/>
      <c r="E2" s="6"/>
      <c r="F2" s="6"/>
      <c r="G2" s="6"/>
      <c r="H2" s="6"/>
      <c r="I2" s="6"/>
      <c r="J2" s="6"/>
      <c r="K2" s="6"/>
      <c r="L2" s="6"/>
      <c r="M2" s="7"/>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6"/>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6"/>
      <c r="C11" s="6"/>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6"/>
      <c r="C13" s="6"/>
      <c r="D13" s="6"/>
      <c r="E13" s="6"/>
      <c r="F13" s="6"/>
      <c r="G13" s="6"/>
      <c r="H13" s="6"/>
      <c r="I13" s="6"/>
      <c r="J13" s="6"/>
      <c r="K13" s="6"/>
      <c r="L13" s="6"/>
      <c r="M13" s="6"/>
      <c r="N13" s="6"/>
      <c r="O13" s="6"/>
      <c r="P13" s="6"/>
      <c r="Q13" s="6"/>
      <c r="R13" s="6"/>
      <c r="S13" s="6"/>
      <c r="T13" s="6"/>
    </row>
    <row r="14" spans="1:20" x14ac:dyDescent="0.35">
      <c r="A14" s="6"/>
      <c r="B14" s="6"/>
      <c r="C14" s="6"/>
      <c r="D14" s="6"/>
      <c r="E14" s="6"/>
      <c r="F14" s="6"/>
      <c r="G14" s="6"/>
      <c r="H14" s="6"/>
      <c r="I14" s="6"/>
      <c r="J14" s="6"/>
      <c r="K14" s="6"/>
      <c r="L14" s="6"/>
      <c r="M14" s="6"/>
      <c r="N14" s="6"/>
      <c r="O14" s="6"/>
      <c r="P14" s="6"/>
      <c r="Q14" s="6"/>
      <c r="R14" s="6"/>
      <c r="S14" s="6"/>
      <c r="T14" s="6"/>
    </row>
    <row r="15" spans="1:20" x14ac:dyDescent="0.35">
      <c r="A15" s="6"/>
      <c r="B15" s="6"/>
      <c r="C15" s="6"/>
      <c r="D15" s="6"/>
      <c r="E15" s="6"/>
      <c r="F15" s="6"/>
      <c r="G15" s="6"/>
      <c r="H15" s="6"/>
      <c r="I15" s="6"/>
      <c r="J15" s="6"/>
      <c r="K15" s="6"/>
      <c r="L15" s="6"/>
      <c r="M15" s="6"/>
      <c r="N15" s="6"/>
      <c r="O15" s="6"/>
      <c r="P15" s="6"/>
      <c r="Q15" s="6"/>
      <c r="R15" s="6"/>
      <c r="S15" s="6"/>
      <c r="T15" s="6"/>
    </row>
    <row r="16" spans="1:20" x14ac:dyDescent="0.35">
      <c r="A16" s="6"/>
      <c r="B16" s="6"/>
      <c r="C16" s="6"/>
      <c r="D16" s="6"/>
      <c r="E16" s="6"/>
      <c r="F16" s="6"/>
      <c r="G16" s="6"/>
      <c r="H16" s="6"/>
      <c r="I16" s="6"/>
      <c r="J16" s="6"/>
      <c r="K16" s="6"/>
      <c r="L16" s="6"/>
      <c r="M16" s="6"/>
      <c r="N16" s="6"/>
      <c r="O16" s="6"/>
      <c r="P16" s="6"/>
      <c r="Q16" s="6"/>
      <c r="R16" s="6"/>
      <c r="S16" s="6"/>
      <c r="T16" s="6"/>
    </row>
    <row r="17" spans="1:20" x14ac:dyDescent="0.35">
      <c r="A17" s="6"/>
      <c r="B17" s="6"/>
      <c r="C17" s="6"/>
      <c r="D17" s="6"/>
      <c r="E17" s="6"/>
      <c r="F17" s="6"/>
      <c r="G17" s="6"/>
      <c r="H17" s="6"/>
      <c r="I17" s="6"/>
      <c r="J17" s="6"/>
      <c r="K17" s="6"/>
      <c r="L17" s="6"/>
      <c r="M17" s="6"/>
      <c r="N17" s="6"/>
      <c r="O17" s="6"/>
      <c r="P17" s="6"/>
      <c r="Q17" s="6"/>
      <c r="R17" s="6"/>
      <c r="S17" s="6"/>
      <c r="T17" s="6"/>
    </row>
    <row r="18" spans="1:20" x14ac:dyDescent="0.35">
      <c r="A18" s="6"/>
      <c r="B18" s="6"/>
      <c r="C18" s="6"/>
      <c r="D18" s="6"/>
      <c r="E18" s="6"/>
      <c r="F18" s="6"/>
      <c r="G18" s="6"/>
      <c r="H18" s="6"/>
      <c r="I18" s="6"/>
      <c r="J18" s="6"/>
      <c r="K18" s="6"/>
      <c r="L18" s="6"/>
      <c r="M18" s="6"/>
      <c r="N18" s="6"/>
      <c r="O18" s="6"/>
      <c r="P18" s="6"/>
      <c r="Q18" s="6"/>
      <c r="R18" s="6"/>
      <c r="S18" s="6"/>
      <c r="T18" s="6"/>
    </row>
    <row r="19" spans="1:20" x14ac:dyDescent="0.35">
      <c r="A19" s="6"/>
      <c r="B19" s="6"/>
      <c r="C19" s="6"/>
      <c r="D19" s="6"/>
      <c r="E19" s="6"/>
      <c r="F19" s="6"/>
      <c r="G19" s="6"/>
      <c r="H19" s="6"/>
      <c r="I19" s="6"/>
      <c r="J19" s="6"/>
      <c r="K19" s="6"/>
      <c r="L19" s="6"/>
      <c r="M19" s="6"/>
      <c r="N19" s="6"/>
      <c r="O19" s="6"/>
      <c r="P19" s="6"/>
      <c r="Q19" s="6"/>
      <c r="R19" s="6"/>
      <c r="S19" s="6"/>
      <c r="T19" s="6"/>
    </row>
    <row r="20" spans="1:20" x14ac:dyDescent="0.35">
      <c r="A20" s="6"/>
      <c r="B20" s="6"/>
      <c r="C20" s="6"/>
      <c r="D20" s="6"/>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row r="22" spans="1:20" x14ac:dyDescent="0.35">
      <c r="A22" s="6"/>
      <c r="B22" s="6"/>
      <c r="C22" s="6"/>
      <c r="D22" s="6"/>
      <c r="E22" s="6"/>
      <c r="F22" s="6"/>
      <c r="G22" s="6"/>
      <c r="H22" s="6"/>
      <c r="I22" s="6"/>
      <c r="J22" s="6"/>
      <c r="K22" s="6"/>
      <c r="L22" s="6"/>
      <c r="M22" s="6"/>
      <c r="N22" s="6"/>
      <c r="O22" s="6"/>
      <c r="P22" s="6"/>
      <c r="Q22" s="6"/>
      <c r="R22" s="6"/>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6"/>
      <c r="C24" s="6"/>
      <c r="D24" s="6"/>
      <c r="E24" s="6"/>
      <c r="F24" s="6"/>
      <c r="G24" s="6"/>
      <c r="H24" s="6"/>
      <c r="I24" s="6"/>
      <c r="J24" s="6"/>
      <c r="K24" s="6"/>
      <c r="L24" s="6"/>
      <c r="M24" s="6"/>
      <c r="N24" s="6"/>
      <c r="O24" s="6"/>
      <c r="P24" s="6"/>
      <c r="Q24" s="6"/>
      <c r="R24" s="6"/>
      <c r="S24" s="6"/>
      <c r="T24" s="6"/>
    </row>
    <row r="25" spans="1:20" x14ac:dyDescent="0.35">
      <c r="A25" s="6"/>
      <c r="B25" s="6"/>
      <c r="C25" s="6"/>
      <c r="D25" s="6"/>
      <c r="E25" s="6"/>
      <c r="F25" s="6"/>
      <c r="G25" s="6"/>
      <c r="H25" s="6"/>
      <c r="I25" s="6"/>
      <c r="J25" s="6"/>
      <c r="K25" s="6"/>
      <c r="L25" s="6"/>
      <c r="M25" s="6"/>
      <c r="N25" s="6"/>
      <c r="O25" s="6"/>
      <c r="P25" s="6"/>
      <c r="Q25" s="6"/>
      <c r="R25" s="6"/>
      <c r="S25" s="6"/>
      <c r="T25" s="6"/>
    </row>
    <row r="26" spans="1:20" x14ac:dyDescent="0.35">
      <c r="A26" s="6"/>
      <c r="B26" s="6"/>
      <c r="C26" s="6"/>
      <c r="D26" s="6"/>
      <c r="E26" s="6"/>
      <c r="F26" s="6"/>
      <c r="G26" s="6"/>
      <c r="H26" s="6"/>
      <c r="I26" s="6"/>
      <c r="J26" s="6"/>
      <c r="K26" s="6"/>
      <c r="L26" s="6"/>
      <c r="M26" s="6"/>
      <c r="N26" s="6"/>
      <c r="O26" s="6"/>
      <c r="P26" s="6"/>
      <c r="Q26" s="6"/>
      <c r="R26" s="6"/>
      <c r="S26" s="6"/>
      <c r="T26" s="6"/>
    </row>
    <row r="27" spans="1:20" x14ac:dyDescent="0.35">
      <c r="A27" s="6"/>
      <c r="B27" s="6"/>
      <c r="C27" s="6"/>
      <c r="D27" s="6"/>
      <c r="E27" s="6"/>
      <c r="F27" s="6"/>
      <c r="G27" s="6"/>
      <c r="H27" s="6"/>
      <c r="I27" s="6"/>
      <c r="J27" s="6"/>
      <c r="K27" s="6"/>
      <c r="L27" s="6"/>
      <c r="M27" s="6"/>
      <c r="N27" s="6"/>
      <c r="O27" s="6"/>
      <c r="P27" s="6"/>
      <c r="Q27" s="6"/>
      <c r="R27" s="6"/>
      <c r="S27" s="6"/>
      <c r="T27" s="6"/>
    </row>
    <row r="28" spans="1:20" x14ac:dyDescent="0.35">
      <c r="A28" s="6"/>
      <c r="B28" s="6"/>
      <c r="C28" s="6"/>
      <c r="D28" s="6"/>
      <c r="E28" s="6"/>
      <c r="F28" s="6"/>
      <c r="G28" s="6"/>
      <c r="H28" s="6"/>
      <c r="I28" s="6"/>
      <c r="J28" s="6"/>
      <c r="K28" s="6"/>
      <c r="L28" s="6"/>
      <c r="M28" s="6"/>
      <c r="N28" s="6"/>
      <c r="O28" s="6"/>
      <c r="P28" s="6"/>
      <c r="Q28" s="6"/>
      <c r="R28" s="6"/>
      <c r="S28" s="6"/>
      <c r="T28" s="6"/>
    </row>
    <row r="29" spans="1:20" x14ac:dyDescent="0.35">
      <c r="A29" s="6"/>
      <c r="B29" s="6"/>
      <c r="C29" s="6"/>
      <c r="D29" s="6"/>
      <c r="E29" s="6"/>
      <c r="F29" s="6"/>
      <c r="G29" s="6"/>
      <c r="H29" s="6"/>
      <c r="I29" s="6"/>
      <c r="J29" s="6"/>
      <c r="K29" s="6"/>
      <c r="L29" s="6"/>
      <c r="M29" s="6"/>
      <c r="N29" s="6"/>
      <c r="O29" s="6"/>
      <c r="P29" s="6"/>
      <c r="Q29" s="6"/>
      <c r="R29" s="6"/>
      <c r="S29" s="6"/>
      <c r="T29" s="6"/>
    </row>
    <row r="30" spans="1:20" x14ac:dyDescent="0.35">
      <c r="A30" s="6"/>
      <c r="B30" s="6"/>
      <c r="C30" s="6"/>
      <c r="D30" s="6"/>
      <c r="E30" s="6"/>
      <c r="F30" s="6"/>
      <c r="G30" s="6"/>
      <c r="H30" s="6"/>
      <c r="I30" s="6"/>
      <c r="J30" s="6"/>
      <c r="K30" s="6"/>
      <c r="L30" s="6"/>
      <c r="M30" s="6"/>
      <c r="N30" s="6"/>
      <c r="O30" s="6"/>
      <c r="P30" s="6"/>
      <c r="Q30" s="6"/>
      <c r="R30" s="6"/>
      <c r="S30" s="6"/>
      <c r="T30" s="6"/>
    </row>
    <row r="31" spans="1:20" x14ac:dyDescent="0.35">
      <c r="A31" s="6"/>
      <c r="B31" s="6"/>
      <c r="C31" s="6"/>
      <c r="D31" s="6"/>
      <c r="E31" s="6"/>
      <c r="F31" s="6"/>
      <c r="G31" s="6"/>
      <c r="H31" s="6"/>
      <c r="I31" s="6"/>
      <c r="J31" s="6"/>
      <c r="K31" s="6"/>
      <c r="L31" s="6"/>
      <c r="M31" s="6"/>
      <c r="N31" s="6"/>
      <c r="O31" s="6"/>
      <c r="P31" s="6"/>
      <c r="Q31" s="6"/>
      <c r="R31" s="6"/>
      <c r="S31" s="6"/>
      <c r="T31" s="6"/>
    </row>
    <row r="32" spans="1:20" x14ac:dyDescent="0.35">
      <c r="A32" s="6"/>
      <c r="B32" s="6"/>
      <c r="C32" s="6"/>
      <c r="D32" s="6"/>
      <c r="E32" s="6"/>
      <c r="F32" s="6"/>
      <c r="G32" s="6"/>
      <c r="H32" s="6"/>
      <c r="I32" s="6"/>
      <c r="J32" s="6"/>
      <c r="K32" s="6"/>
      <c r="L32" s="6"/>
      <c r="M32" s="6"/>
      <c r="N32" s="6"/>
      <c r="O32" s="6"/>
      <c r="P32" s="6"/>
      <c r="Q32" s="6"/>
      <c r="R32" s="6"/>
      <c r="S32" s="6"/>
      <c r="T32" s="6"/>
    </row>
    <row r="33" spans="1:20" x14ac:dyDescent="0.35">
      <c r="A33" s="6"/>
      <c r="B33" s="6"/>
      <c r="C33" s="6"/>
      <c r="D33" s="6"/>
      <c r="E33" s="6"/>
      <c r="F33" s="6"/>
      <c r="G33" s="6"/>
      <c r="H33" s="6"/>
      <c r="I33" s="6"/>
      <c r="J33" s="6"/>
      <c r="K33" s="6"/>
      <c r="L33" s="6"/>
      <c r="M33" s="6"/>
      <c r="N33" s="6"/>
      <c r="O33" s="6"/>
      <c r="P33" s="6"/>
      <c r="Q33" s="6"/>
      <c r="R33" s="6"/>
      <c r="S33" s="6"/>
      <c r="T33" s="6"/>
    </row>
    <row r="34" spans="1:20" x14ac:dyDescent="0.35">
      <c r="A34" s="6"/>
      <c r="B34" s="6"/>
      <c r="C34" s="6"/>
      <c r="D34" s="6"/>
      <c r="E34" s="6"/>
      <c r="F34" s="6"/>
      <c r="G34" s="6"/>
      <c r="H34" s="6"/>
      <c r="I34" s="6"/>
      <c r="J34" s="6"/>
      <c r="K34" s="6"/>
      <c r="L34" s="6"/>
      <c r="M34" s="6"/>
      <c r="N34" s="6"/>
      <c r="O34" s="6"/>
      <c r="P34" s="6"/>
      <c r="Q34" s="6"/>
      <c r="R34" s="6"/>
      <c r="S34" s="6"/>
      <c r="T34" s="6"/>
    </row>
    <row r="35" spans="1:20" x14ac:dyDescent="0.35">
      <c r="A35" s="6"/>
      <c r="B35" s="6"/>
      <c r="C35" s="6"/>
      <c r="D35" s="6"/>
      <c r="E35" s="6"/>
      <c r="F35" s="6"/>
      <c r="G35" s="6"/>
      <c r="H35" s="6"/>
      <c r="I35" s="6"/>
      <c r="J35" s="6"/>
      <c r="K35" s="6"/>
      <c r="L35" s="6"/>
      <c r="M35" s="6"/>
      <c r="N35" s="6"/>
      <c r="O35" s="6"/>
      <c r="P35" s="6"/>
      <c r="Q35" s="6"/>
      <c r="R35" s="6"/>
      <c r="S35" s="6"/>
      <c r="T35" s="6"/>
    </row>
    <row r="36" spans="1:20" x14ac:dyDescent="0.35">
      <c r="A36" s="6"/>
      <c r="B36" s="6"/>
      <c r="C36" s="6"/>
      <c r="D36" s="6"/>
      <c r="E36" s="6"/>
      <c r="F36" s="6"/>
      <c r="G36" s="6"/>
      <c r="H36" s="6"/>
      <c r="I36" s="6"/>
      <c r="J36" s="6"/>
      <c r="K36" s="6"/>
      <c r="L36" s="6"/>
      <c r="M36" s="6"/>
      <c r="N36" s="6"/>
      <c r="O36" s="6"/>
      <c r="P36" s="6"/>
      <c r="Q36" s="6"/>
      <c r="R36" s="6"/>
      <c r="S36" s="6"/>
      <c r="T36" s="6"/>
    </row>
    <row r="37" spans="1:20" x14ac:dyDescent="0.35">
      <c r="A37" s="6"/>
      <c r="B37" s="6"/>
      <c r="C37" s="6"/>
      <c r="D37" s="6"/>
      <c r="E37" s="6"/>
      <c r="F37" s="6"/>
      <c r="G37" s="6"/>
      <c r="H37" s="6"/>
      <c r="I37" s="6"/>
      <c r="J37" s="6"/>
      <c r="K37" s="6"/>
      <c r="L37" s="6"/>
      <c r="M37" s="6"/>
      <c r="N37" s="6"/>
      <c r="O37" s="6"/>
      <c r="P37" s="6"/>
      <c r="Q37" s="6"/>
      <c r="R37" s="6"/>
      <c r="S37" s="6"/>
      <c r="T37" s="6"/>
    </row>
    <row r="38" spans="1:20" x14ac:dyDescent="0.35">
      <c r="A38" s="6"/>
      <c r="B38" s="6"/>
      <c r="C38" s="6"/>
      <c r="D38" s="6"/>
      <c r="E38" s="6"/>
      <c r="F38" s="6"/>
      <c r="G38" s="6"/>
      <c r="H38" s="6"/>
      <c r="I38" s="6"/>
      <c r="J38" s="6"/>
      <c r="K38" s="6"/>
      <c r="L38" s="6"/>
      <c r="M38" s="6"/>
      <c r="N38" s="6"/>
      <c r="O38" s="6"/>
      <c r="P38" s="6"/>
      <c r="Q38" s="6"/>
      <c r="R38" s="6"/>
      <c r="S38" s="6"/>
      <c r="T38" s="6"/>
    </row>
    <row r="39" spans="1:20" x14ac:dyDescent="0.35">
      <c r="A39" s="6"/>
      <c r="B39" s="6"/>
      <c r="C39" s="6"/>
      <c r="D39" s="6"/>
      <c r="E39" s="6"/>
      <c r="F39" s="6"/>
      <c r="G39" s="6"/>
      <c r="H39" s="6"/>
      <c r="I39" s="6"/>
      <c r="J39" s="6"/>
      <c r="K39" s="6"/>
      <c r="L39" s="6"/>
      <c r="M39" s="6"/>
      <c r="N39" s="6"/>
      <c r="O39" s="6"/>
      <c r="P39" s="6"/>
      <c r="Q39" s="6"/>
      <c r="R39" s="6"/>
      <c r="S39" s="6"/>
      <c r="T39" s="6"/>
    </row>
    <row r="40" spans="1:20" x14ac:dyDescent="0.35">
      <c r="A40" s="6"/>
      <c r="B40" s="6"/>
      <c r="C40" s="6"/>
      <c r="D40" s="6"/>
      <c r="E40" s="6"/>
      <c r="F40" s="6"/>
      <c r="G40" s="6"/>
      <c r="H40" s="6"/>
      <c r="I40" s="6"/>
      <c r="J40" s="6"/>
      <c r="K40" s="6"/>
      <c r="L40" s="6"/>
      <c r="M40" s="6"/>
      <c r="N40" s="6"/>
      <c r="O40" s="6"/>
      <c r="P40" s="6"/>
      <c r="Q40" s="6"/>
      <c r="R40" s="6"/>
      <c r="S40" s="6"/>
      <c r="T40" s="6"/>
    </row>
    <row r="41" spans="1:20" x14ac:dyDescent="0.35">
      <c r="A41" s="6"/>
      <c r="B41" s="6"/>
      <c r="C41" s="6"/>
      <c r="D41" s="6"/>
      <c r="E41" s="6"/>
      <c r="F41" s="6"/>
      <c r="G41" s="6"/>
      <c r="H41" s="6"/>
      <c r="I41" s="6"/>
      <c r="J41" s="6"/>
      <c r="K41" s="6"/>
      <c r="L41" s="6"/>
      <c r="M41" s="6"/>
      <c r="N41" s="6"/>
      <c r="O41" s="6"/>
      <c r="P41" s="6"/>
      <c r="Q41" s="6"/>
      <c r="R41" s="6"/>
      <c r="S41" s="6"/>
      <c r="T41" s="6"/>
    </row>
    <row r="42" spans="1:20" x14ac:dyDescent="0.35">
      <c r="A42" s="6"/>
      <c r="B42" s="6"/>
      <c r="C42" s="6"/>
      <c r="D42" s="6"/>
      <c r="E42" s="6"/>
      <c r="F42" s="6"/>
      <c r="G42" s="6"/>
      <c r="H42" s="6"/>
      <c r="I42" s="6"/>
      <c r="J42" s="6"/>
      <c r="K42" s="6"/>
      <c r="L42" s="6"/>
      <c r="M42" s="6"/>
      <c r="N42" s="6"/>
      <c r="O42" s="6"/>
      <c r="P42" s="6"/>
      <c r="Q42" s="6"/>
      <c r="R42" s="6"/>
      <c r="S42" s="6"/>
      <c r="T42" s="6"/>
    </row>
    <row r="43" spans="1:20" x14ac:dyDescent="0.35">
      <c r="A43" s="6"/>
      <c r="B43" s="6"/>
      <c r="C43" s="6"/>
      <c r="D43" s="6"/>
      <c r="E43" s="6"/>
      <c r="F43" s="6"/>
      <c r="G43" s="6"/>
      <c r="H43" s="6"/>
      <c r="I43" s="6"/>
      <c r="J43" s="6"/>
      <c r="K43" s="6"/>
      <c r="L43" s="6"/>
      <c r="M43" s="6"/>
      <c r="N43" s="6"/>
      <c r="O43" s="6"/>
      <c r="P43" s="6"/>
      <c r="Q43" s="6"/>
      <c r="R43" s="6"/>
      <c r="S43" s="6"/>
      <c r="T43" s="6"/>
    </row>
    <row r="44" spans="1:20" x14ac:dyDescent="0.35">
      <c r="A44" s="6"/>
      <c r="B44" s="6"/>
      <c r="C44" s="6"/>
      <c r="D44" s="6"/>
      <c r="E44" s="6"/>
      <c r="F44" s="6"/>
      <c r="G44" s="6"/>
      <c r="H44" s="6"/>
      <c r="I44" s="6"/>
      <c r="J44" s="6"/>
      <c r="K44" s="6"/>
      <c r="L44" s="6"/>
      <c r="M44" s="6"/>
      <c r="N44" s="6"/>
      <c r="O44" s="6"/>
      <c r="P44" s="6"/>
      <c r="Q44" s="6"/>
      <c r="R44" s="6"/>
      <c r="S44" s="6"/>
      <c r="T44" s="6"/>
    </row>
    <row r="45" spans="1:20" x14ac:dyDescent="0.35">
      <c r="A45" s="6"/>
      <c r="B45" s="6"/>
      <c r="C45" s="6"/>
      <c r="D45" s="6"/>
      <c r="E45" s="6"/>
      <c r="F45" s="6"/>
      <c r="G45" s="6"/>
      <c r="H45" s="6"/>
      <c r="I45" s="6"/>
      <c r="J45" s="6"/>
      <c r="K45" s="6"/>
      <c r="L45" s="6"/>
      <c r="M45" s="6"/>
      <c r="N45" s="6"/>
      <c r="O45" s="6"/>
      <c r="P45" s="6"/>
      <c r="Q45" s="6"/>
      <c r="R45" s="6"/>
      <c r="S45" s="6"/>
      <c r="T45" s="6"/>
    </row>
    <row r="46" spans="1:20" x14ac:dyDescent="0.35">
      <c r="A46" s="6"/>
      <c r="B46" s="6"/>
      <c r="C46" s="6"/>
      <c r="D46" s="6"/>
      <c r="E46" s="6"/>
      <c r="F46" s="6"/>
      <c r="G46" s="6"/>
      <c r="H46" s="6"/>
      <c r="I46" s="6"/>
      <c r="J46" s="6"/>
      <c r="K46" s="6"/>
      <c r="L46" s="6"/>
      <c r="M46" s="6"/>
      <c r="N46" s="6"/>
      <c r="O46" s="6"/>
      <c r="P46" s="6"/>
      <c r="Q46" s="6"/>
      <c r="R46" s="6"/>
      <c r="S46" s="6"/>
      <c r="T46" s="6"/>
    </row>
    <row r="47" spans="1:20" x14ac:dyDescent="0.35">
      <c r="A47" s="6"/>
      <c r="B47" s="6"/>
      <c r="C47" s="6"/>
      <c r="D47" s="6"/>
      <c r="E47" s="6"/>
      <c r="F47" s="6"/>
      <c r="G47" s="6"/>
      <c r="H47" s="6"/>
      <c r="I47" s="6"/>
      <c r="J47" s="6"/>
      <c r="K47" s="6"/>
      <c r="L47" s="6"/>
      <c r="M47" s="6"/>
      <c r="N47" s="6"/>
      <c r="O47" s="6"/>
      <c r="P47" s="6"/>
      <c r="Q47" s="6"/>
      <c r="R47" s="6"/>
      <c r="S47" s="6"/>
      <c r="T47" s="6"/>
    </row>
    <row r="48" spans="1:20" x14ac:dyDescent="0.35">
      <c r="A48" s="6"/>
      <c r="B48" s="6"/>
      <c r="C48" s="6"/>
      <c r="D48" s="6"/>
      <c r="E48" s="6"/>
      <c r="F48" s="6"/>
      <c r="G48" s="6"/>
      <c r="H48" s="6"/>
      <c r="I48" s="6"/>
      <c r="J48" s="6"/>
      <c r="K48" s="6"/>
      <c r="L48" s="6"/>
      <c r="M48" s="6"/>
      <c r="N48" s="6"/>
      <c r="O48" s="6"/>
      <c r="P48" s="6"/>
      <c r="Q48" s="6"/>
      <c r="R48" s="6"/>
      <c r="S48" s="6"/>
      <c r="T48" s="6"/>
    </row>
    <row r="49" spans="1:20" x14ac:dyDescent="0.35">
      <c r="A49" s="6"/>
      <c r="B49" s="6"/>
      <c r="C49" s="6"/>
      <c r="D49" s="6"/>
      <c r="E49" s="6"/>
      <c r="F49" s="6"/>
      <c r="G49" s="6"/>
      <c r="H49" s="6"/>
      <c r="I49" s="6"/>
      <c r="J49" s="6"/>
      <c r="K49" s="6"/>
      <c r="L49" s="6"/>
      <c r="M49" s="6"/>
      <c r="N49" s="6"/>
      <c r="O49" s="6"/>
      <c r="P49" s="6"/>
      <c r="Q49" s="6"/>
      <c r="R49" s="6"/>
      <c r="S49" s="6"/>
      <c r="T49" s="6"/>
    </row>
    <row r="50" spans="1:20" x14ac:dyDescent="0.35">
      <c r="A50" s="6"/>
      <c r="B50" s="6"/>
      <c r="C50" s="6"/>
      <c r="D50" s="6"/>
      <c r="E50" s="6"/>
      <c r="F50" s="6"/>
      <c r="G50" s="6"/>
      <c r="H50" s="6"/>
      <c r="I50" s="6"/>
      <c r="J50" s="6"/>
      <c r="K50" s="6"/>
      <c r="L50" s="6"/>
      <c r="M50" s="6"/>
      <c r="N50" s="6"/>
      <c r="O50" s="6"/>
      <c r="T50" s="6"/>
    </row>
    <row r="51" spans="1:20" x14ac:dyDescent="0.35">
      <c r="A51" s="6"/>
      <c r="B51" s="6"/>
      <c r="C51" s="6"/>
      <c r="D51" s="6"/>
      <c r="E51" s="6"/>
      <c r="F51" s="6"/>
      <c r="G51" s="6"/>
      <c r="H51" s="6"/>
      <c r="I51" s="6"/>
      <c r="J51" s="6"/>
      <c r="K51" s="6"/>
      <c r="L51" s="6"/>
      <c r="M51" s="6"/>
      <c r="N51" s="6"/>
      <c r="O51" s="6"/>
      <c r="T51" s="6"/>
    </row>
    <row r="52" spans="1:20" x14ac:dyDescent="0.35">
      <c r="A52" s="6"/>
      <c r="B52" s="6"/>
      <c r="C52" s="6"/>
      <c r="D52" s="6"/>
      <c r="E52" s="6"/>
      <c r="F52" s="6"/>
      <c r="G52" s="6"/>
      <c r="H52" s="6"/>
      <c r="I52" s="6"/>
      <c r="J52" s="6"/>
      <c r="K52" s="6"/>
      <c r="L52" s="6"/>
      <c r="M52" s="6"/>
      <c r="N52" s="6"/>
      <c r="O52" s="6"/>
      <c r="T52"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9900-640A-4A8F-9D76-FE757EEE504B}">
  <dimension ref="A1"/>
  <sheetViews>
    <sheetView workbookViewId="0">
      <selection activeCell="L3" sqref="L3"/>
    </sheetView>
  </sheetViews>
  <sheetFormatPr defaultRowHeight="14.5" x14ac:dyDescent="0.35"/>
  <cols>
    <col min="1" max="16384" width="8.7265625" style="8"/>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554BD-8BD2-4F62-B1E7-EE3881B3F400}">
  <dimension ref="A1:AH28"/>
  <sheetViews>
    <sheetView workbookViewId="0">
      <selection activeCell="S11" sqref="S11"/>
    </sheetView>
  </sheetViews>
  <sheetFormatPr defaultRowHeight="14.5" x14ac:dyDescent="0.35"/>
  <sheetData>
    <row r="1" spans="1:34"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row>
    <row r="2" spans="1:34"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row>
    <row r="3" spans="1:34"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row>
    <row r="4" spans="1:34"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row>
    <row r="5" spans="1:34"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row>
    <row r="7" spans="1:34" x14ac:dyDescent="0.35">
      <c r="A7" s="8"/>
      <c r="B7" s="8"/>
      <c r="C7" s="8"/>
      <c r="D7" s="14"/>
      <c r="E7" s="8"/>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spans="1:34"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row>
    <row r="9" spans="1:34"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spans="1:34"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row>
    <row r="11" spans="1:34"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row>
    <row r="12" spans="1:34"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spans="1:34"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row>
    <row r="14" spans="1:34"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row>
    <row r="15" spans="1:34"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row>
    <row r="16" spans="1:34"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row>
    <row r="17" spans="1:34"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row>
    <row r="18" spans="1:34"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row>
    <row r="19" spans="1:34"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row>
    <row r="20" spans="1:34"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row>
    <row r="21" spans="1:34"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row>
    <row r="22" spans="1:34"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spans="1:34"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row>
    <row r="24" spans="1:34"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row>
    <row r="25" spans="1:34"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spans="1:34"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spans="1:34"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row>
    <row r="28" spans="1:34"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8AB4-D04E-49FA-A089-16840DE588D2}">
  <dimension ref="A1"/>
  <sheetViews>
    <sheetView workbookViewId="0">
      <selection activeCell="O1" sqref="O1"/>
    </sheetView>
  </sheetViews>
  <sheetFormatPr defaultRowHeight="14.5" x14ac:dyDescent="0.35"/>
  <cols>
    <col min="1" max="16384" width="8.7265625" style="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E3A1F06-462F-4B5D-A856-F3301D0A341D}">
  <ds:schemaRefs/>
</ds:datastoreItem>
</file>

<file path=customXml/itemProps2.xml><?xml version="1.0" encoding="utf-8"?>
<ds:datastoreItem xmlns:ds="http://schemas.openxmlformats.org/officeDocument/2006/customXml" ds:itemID="{0BF49F70-3999-4E7C-ADA7-97341F504A55}">
  <ds:schemaRefs/>
</ds:datastoreItem>
</file>

<file path=customXml/itemProps3.xml><?xml version="1.0" encoding="utf-8"?>
<ds:datastoreItem xmlns:ds="http://schemas.openxmlformats.org/officeDocument/2006/customXml" ds:itemID="{63600316-2F9D-44EA-9F18-4767250994CE}">
  <ds:schemaRefs/>
</ds:datastoreItem>
</file>

<file path=customXml/itemProps4.xml><?xml version="1.0" encoding="utf-8"?>
<ds:datastoreItem xmlns:ds="http://schemas.openxmlformats.org/officeDocument/2006/customXml" ds:itemID="{081E28EC-6129-4573-930D-96E27258EF86}">
  <ds:schemaRefs/>
</ds:datastoreItem>
</file>

<file path=customXml/itemProps5.xml><?xml version="1.0" encoding="utf-8"?>
<ds:datastoreItem xmlns:ds="http://schemas.openxmlformats.org/officeDocument/2006/customXml" ds:itemID="{C219FCB3-1568-4B0A-A558-D4B29AB7A55C}">
  <ds:schemaRefs/>
</ds:datastoreItem>
</file>

<file path=customXml/itemProps6.xml><?xml version="1.0" encoding="utf-8"?>
<ds:datastoreItem xmlns:ds="http://schemas.openxmlformats.org/officeDocument/2006/customXml" ds:itemID="{AC47CC15-10C4-4FB1-9BC6-018B977754F9}">
  <ds:schemaRefs/>
</ds:datastoreItem>
</file>

<file path=customXml/itemProps7.xml><?xml version="1.0" encoding="utf-8"?>
<ds:datastoreItem xmlns:ds="http://schemas.openxmlformats.org/officeDocument/2006/customXml" ds:itemID="{01D2B3DA-0931-4746-AF20-58FFED713B66}">
  <ds:schemaRefs/>
</ds:datastoreItem>
</file>

<file path=customXml/itemProps8.xml><?xml version="1.0" encoding="utf-8"?>
<ds:datastoreItem xmlns:ds="http://schemas.openxmlformats.org/officeDocument/2006/customXml" ds:itemID="{45502C74-CF9A-431E-86D7-55940818DBA5}">
  <ds:schemaRefs/>
</ds:datastoreItem>
</file>

<file path=customXml/itemProps9.xml><?xml version="1.0" encoding="utf-8"?>
<ds:datastoreItem xmlns:ds="http://schemas.openxmlformats.org/officeDocument/2006/customXml" ds:itemID="{54190C5F-2DA8-4E2E-9F53-19C2B498D55A}">
  <ds:schemaRefs/>
</ds:datastoreItem>
</file>

<file path=customXml/itemProps10.xml><?xml version="1.0" encoding="utf-8"?>
<ds:datastoreItem xmlns:ds="http://schemas.openxmlformats.org/officeDocument/2006/customXml" ds:itemID="{518D9D46-7998-4A8E-A61B-FF9F968DA97D}">
  <ds:schemaRefs/>
</ds:datastoreItem>
</file>

<file path=customXml/itemProps11.xml><?xml version="1.0" encoding="utf-8"?>
<ds:datastoreItem xmlns:ds="http://schemas.openxmlformats.org/officeDocument/2006/customXml" ds:itemID="{5F924E71-33BD-4E6B-9F7D-44024AEAF8F8}">
  <ds:schemaRefs/>
</ds:datastoreItem>
</file>

<file path=customXml/itemProps12.xml><?xml version="1.0" encoding="utf-8"?>
<ds:datastoreItem xmlns:ds="http://schemas.openxmlformats.org/officeDocument/2006/customXml" ds:itemID="{3591992A-7804-4F0B-86AB-AE30174FC95F}">
  <ds:schemaRefs/>
</ds:datastoreItem>
</file>

<file path=customXml/itemProps13.xml><?xml version="1.0" encoding="utf-8"?>
<ds:datastoreItem xmlns:ds="http://schemas.openxmlformats.org/officeDocument/2006/customXml" ds:itemID="{B6A316F1-E363-4E8E-B76C-8FA332B93753}">
  <ds:schemaRefs/>
</ds:datastoreItem>
</file>

<file path=customXml/itemProps14.xml><?xml version="1.0" encoding="utf-8"?>
<ds:datastoreItem xmlns:ds="http://schemas.openxmlformats.org/officeDocument/2006/customXml" ds:itemID="{8EFE7834-FA2C-4628-A4E2-178B566ACEA7}">
  <ds:schemaRefs/>
</ds:datastoreItem>
</file>

<file path=customXml/itemProps15.xml><?xml version="1.0" encoding="utf-8"?>
<ds:datastoreItem xmlns:ds="http://schemas.openxmlformats.org/officeDocument/2006/customXml" ds:itemID="{697E9518-72EB-428C-8604-73D838FE9BBF}">
  <ds:schemaRefs/>
</ds:datastoreItem>
</file>

<file path=customXml/itemProps16.xml><?xml version="1.0" encoding="utf-8"?>
<ds:datastoreItem xmlns:ds="http://schemas.openxmlformats.org/officeDocument/2006/customXml" ds:itemID="{E7D6450C-61AA-4E41-B4BA-410C2D29FF35}">
  <ds:schemaRefs/>
</ds:datastoreItem>
</file>

<file path=customXml/itemProps17.xml><?xml version="1.0" encoding="utf-8"?>
<ds:datastoreItem xmlns:ds="http://schemas.openxmlformats.org/officeDocument/2006/customXml" ds:itemID="{B947D9E0-9D3B-4DBE-8BFF-18906EEA61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Tables</vt:lpstr>
      <vt:lpstr>Dashboard</vt:lpstr>
      <vt:lpstr>Avg S.Score Chart</vt:lpstr>
      <vt:lpstr>Daily Patient Count Chart</vt:lpstr>
      <vt:lpstr>Average Wait Time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Mohsin Kalim Khan</dc:creator>
  <cp:lastModifiedBy>Mohsin Kalim Khan</cp:lastModifiedBy>
  <dcterms:created xsi:type="dcterms:W3CDTF">2026-04-18T10:15:31Z</dcterms:created>
  <dcterms:modified xsi:type="dcterms:W3CDTF">2026-04-20T07:37:00Z</dcterms:modified>
</cp:coreProperties>
</file>